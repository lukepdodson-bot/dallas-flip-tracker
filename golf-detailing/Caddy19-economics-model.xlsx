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ingle Club (Monthly + Annual)" sheetId="2" state="visible" r:id="rId4"/>
    <sheet name="Scaled DFW (Monthly + Annual)" sheetId="3" state="visible" r:id="rId5"/>
    <sheet name="Startup Co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<sst xmlns="http://schemas.openxmlformats.org/spreadsheetml/2006/main" count="109" uniqueCount="93">
  <si>
    <t xml:space="preserve">Caddy 19 — Model Assumptions</t>
  </si>
  <si>
    <t xml:space="preserve">Mobile car-detailing at golf/country clubs — Dallas-Fort Worth. Edit yellow cells; every other tab recalculates.</t>
  </si>
  <si>
    <t xml:space="preserve">SHARED DRIVERS</t>
  </si>
  <si>
    <t xml:space="preserve">Avg ticket — The Turn (express)</t>
  </si>
  <si>
    <t xml:space="preserve">Avg ticket — Full Round</t>
  </si>
  <si>
    <t xml:space="preserve">Avg ticket — Championship</t>
  </si>
  <si>
    <t xml:space="preserve">Blended avg ticket</t>
  </si>
  <si>
    <t xml:space="preserve">Tech labor % of service revenue</t>
  </si>
  <si>
    <t xml:space="preserve">Payroll burden (employer tax + workers' comp) % of wages</t>
  </si>
  <si>
    <t xml:space="preserve">Credit-card processing % of revenue</t>
  </si>
  <si>
    <t xml:space="preserve">Club revenue share % of revenue</t>
  </si>
  <si>
    <t xml:space="preserve">Supplies/consumables % of revenue</t>
  </si>
  <si>
    <t xml:space="preserve">Vehicle lease $/month per rig</t>
  </si>
  <si>
    <t xml:space="preserve">Commercial auto insurance $/month per rig</t>
  </si>
  <si>
    <t xml:space="preserve">Fuel $/month per rig</t>
  </si>
  <si>
    <t xml:space="preserve">Equipment upkeep/replacement reserve $/month per rig</t>
  </si>
  <si>
    <t xml:space="preserve">SINGLE-CLUB DRIVERS</t>
  </si>
  <si>
    <t xml:space="preserve">Club-days per month</t>
  </si>
  <si>
    <t xml:space="preserve">Revenue per club-day</t>
  </si>
  <si>
    <t xml:space="preserve">GL + garagekeepers + BOP insurance $/month</t>
  </si>
  <si>
    <t xml:space="preserve">Software/booking/phone $/month</t>
  </si>
  <si>
    <t xml:space="preserve">Marketing $/month</t>
  </si>
  <si>
    <t xml:space="preserve">Misc/contingency $/month</t>
  </si>
  <si>
    <t xml:space="preserve">SCALED-DFW DRIVERS</t>
  </si>
  <si>
    <t xml:space="preserve">Number of clubs</t>
  </si>
  <si>
    <t xml:space="preserve">Number of rigs/crews</t>
  </si>
  <si>
    <t xml:space="preserve">Number of techs</t>
  </si>
  <si>
    <t xml:space="preserve">Revenue per club per month</t>
  </si>
  <si>
    <t xml:space="preserve">Manager salary loaded $/year</t>
  </si>
  <si>
    <t xml:space="preserve">GL + garagekeepers + BOP + umbrella $/month</t>
  </si>
  <si>
    <t xml:space="preserve">Software/booking/dispatch/phones $/month</t>
  </si>
  <si>
    <t xml:space="preserve">Accounting/admin/misc $/month</t>
  </si>
  <si>
    <t xml:space="preserve">Legend: yellow-filled blue-text cells are editable inputs. All other cells contain formulas and recalculate automatically.</t>
  </si>
  <si>
    <t xml:space="preserve">Caddy 19 — Single Club P&amp;L</t>
  </si>
  <si>
    <t xml:space="preserve">One club, one rig/crew. Monthly and annualized owner economics.</t>
  </si>
  <si>
    <t xml:space="preserve">Line Item</t>
  </si>
  <si>
    <t xml:space="preserve">Monthly</t>
  </si>
  <si>
    <t xml:space="preserve">Annual</t>
  </si>
  <si>
    <t xml:space="preserve">Revenue</t>
  </si>
  <si>
    <t xml:space="preserve">Tech labor</t>
  </si>
  <si>
    <t xml:space="preserve">Payroll burden</t>
  </si>
  <si>
    <t xml:space="preserve">Credit-card processing</t>
  </si>
  <si>
    <t xml:space="preserve">Club revenue share</t>
  </si>
  <si>
    <t xml:space="preserve">Supplies</t>
  </si>
  <si>
    <t xml:space="preserve">Vehicle lease (1 rig)</t>
  </si>
  <si>
    <t xml:space="preserve">Commercial auto insurance (1 rig)</t>
  </si>
  <si>
    <t xml:space="preserve">GL/garagekeepers/BOP</t>
  </si>
  <si>
    <t xml:space="preserve">Fuel (1 rig)</t>
  </si>
  <si>
    <t xml:space="preserve">Equipment upkeep (1 rig)</t>
  </si>
  <si>
    <t xml:space="preserve">Software/booking/phone</t>
  </si>
  <si>
    <t xml:space="preserve">Marketing</t>
  </si>
  <si>
    <t xml:space="preserve">Misc/contingency</t>
  </si>
  <si>
    <t xml:space="preserve">TOTAL OPERATING COSTS</t>
  </si>
  <si>
    <t xml:space="preserve">OWNER CASH FLOW before tax &amp; owner salary</t>
  </si>
  <si>
    <t xml:space="preserve">Operating margin %</t>
  </si>
  <si>
    <t xml:space="preserve">Note: Assumes Luke provides the sales/management labor (unpaid here). One club is a modest owner-operator business; scale is where the real income is.</t>
  </si>
  <si>
    <t xml:space="preserve">Caddy 19 — Scaled DFW P&amp;L</t>
  </si>
  <si>
    <t xml:space="preserve">Multi-club, multi-rig operation with a manager running day-to-day. Monthly and annualized.</t>
  </si>
  <si>
    <t xml:space="preserve">Manager salary</t>
  </si>
  <si>
    <t xml:space="preserve">Vehicle leases</t>
  </si>
  <si>
    <t xml:space="preserve">Commercial auto insurance</t>
  </si>
  <si>
    <t xml:space="preserve">GL/garagekeepers/BOP/umbrella</t>
  </si>
  <si>
    <t xml:space="preserve">Fuel</t>
  </si>
  <si>
    <t xml:space="preserve">Equipment upkeep</t>
  </si>
  <si>
    <t xml:space="preserve">Software/booking/dispatch/phones</t>
  </si>
  <si>
    <t xml:space="preserve">Accounting/admin/misc</t>
  </si>
  <si>
    <t xml:space="preserve">OWNER CASH FLOW before tax</t>
  </si>
  <si>
    <t xml:space="preserve">Note: At maturity. This is owner pre-tax cash flow with a manager running day-to-day; Luke can take salary and/or distributions from it.</t>
  </si>
  <si>
    <t xml:space="preserve">Caddy 19 — Startup Costs</t>
  </si>
  <si>
    <t xml:space="preserve">One-time capital required to launch a single club vs. scale to ~5 rigs / 10 clubs.</t>
  </si>
  <si>
    <t xml:space="preserve">SINGLE CLUB (leased vehicle)</t>
  </si>
  <si>
    <t xml:space="preserve">SCALE-UP (to ~5 rigs / 10 clubs)</t>
  </si>
  <si>
    <t xml:space="preserve">Item</t>
  </si>
  <si>
    <t xml:space="preserve">Cost</t>
  </si>
  <si>
    <t xml:space="preserve">Detailing equipment (owned)</t>
  </si>
  <si>
    <t xml:space="preserve">Detailing equipment x 5 rigs</t>
  </si>
  <si>
    <t xml:space="preserve">Water-reclamation + turf-safe gear</t>
  </si>
  <si>
    <t xml:space="preserve">Vehicle lease drive-offs x 5</t>
  </si>
  <si>
    <t xml:space="preserve">Vehicle lease drive-off (1st month + deposit)</t>
  </si>
  <si>
    <t xml:space="preserve">Vehicle wraps x 5 (optional, after first signed club each)</t>
  </si>
  <si>
    <t xml:space="preserve">Vehicle magnets/light branding</t>
  </si>
  <si>
    <t xml:space="preserve">Ramp working capital / manager runway</t>
  </si>
  <si>
    <t xml:space="preserve">Insurance down payment</t>
  </si>
  <si>
    <t xml:space="preserve">Scheduling tool / systems</t>
  </si>
  <si>
    <t xml:space="preserve">Brand/print/uniforms</t>
  </si>
  <si>
    <t xml:space="preserve">Contingency</t>
  </si>
  <si>
    <t xml:space="preserve">Website/domain/software setup</t>
  </si>
  <si>
    <t xml:space="preserve">Licenses/permits (TX sales-tax permit, city)</t>
  </si>
  <si>
    <t xml:space="preserve">Initial supplies stock</t>
  </si>
  <si>
    <t xml:space="preserve">Working capital buffer (~2 months)</t>
  </si>
  <si>
    <t xml:space="preserve">Contingency (~10%)</t>
  </si>
  <si>
    <t xml:space="preserve">TOTAL</t>
  </si>
  <si>
    <t xml:space="preserve">Note: Scale-up capital is best funded organically — each signed club's cash flow funds the next crew — rather than raised upfront.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</si>
</sst>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4472C4"/>
        <bgColor rgb="FF0066CC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85</v>
      </c>
    </row>
    <row r="6" customFormat="false" ht="15" hidden="false" customHeight="false" outlineLevel="0" collapsed="false">
      <c r="A6" s="4" t="s">
        <v>4</v>
      </c>
      <c r="B6" s="5" t="n">
        <v>210</v>
      </c>
    </row>
    <row r="7" customFormat="false" ht="15" hidden="false" customHeight="false" outlineLevel="0" collapsed="false">
      <c r="A7" s="4" t="s">
        <v>5</v>
      </c>
      <c r="B7" s="5" t="n">
        <v>400</v>
      </c>
    </row>
    <row r="8" customFormat="false" ht="15" hidden="false" customHeight="false" outlineLevel="0" collapsed="false">
      <c r="A8" s="4" t="s">
        <v>6</v>
      </c>
      <c r="B8" s="5" t="n">
        <v>165</v>
      </c>
    </row>
    <row r="9" customFormat="false" ht="15" hidden="false" customHeight="false" outlineLevel="0" collapsed="false">
      <c r="A9" s="4" t="s">
        <v>7</v>
      </c>
      <c r="B9" s="6" t="n">
        <v>0.32</v>
      </c>
    </row>
    <row r="10" customFormat="false" ht="15" hidden="false" customHeight="false" outlineLevel="0" collapsed="false">
      <c r="A10" s="4" t="s">
        <v>8</v>
      </c>
      <c r="B10" s="6" t="n">
        <v>0.14</v>
      </c>
    </row>
    <row r="11" customFormat="false" ht="15" hidden="false" customHeight="false" outlineLevel="0" collapsed="false">
      <c r="A11" s="4" t="s">
        <v>9</v>
      </c>
      <c r="B11" s="6" t="n">
        <v>0.029</v>
      </c>
    </row>
    <row r="12" customFormat="false" ht="15" hidden="false" customHeight="false" outlineLevel="0" collapsed="false">
      <c r="A12" s="4" t="s">
        <v>10</v>
      </c>
      <c r="B12" s="6" t="n">
        <v>0.12</v>
      </c>
    </row>
    <row r="13" customFormat="false" ht="15" hidden="false" customHeight="false" outlineLevel="0" collapsed="false">
      <c r="A13" s="4" t="s">
        <v>11</v>
      </c>
      <c r="B13" s="6" t="n">
        <v>0.07</v>
      </c>
    </row>
    <row r="14" customFormat="false" ht="15" hidden="false" customHeight="false" outlineLevel="0" collapsed="false">
      <c r="A14" s="4" t="s">
        <v>12</v>
      </c>
      <c r="B14" s="5" t="n">
        <v>650</v>
      </c>
    </row>
    <row r="15" customFormat="false" ht="15" hidden="false" customHeight="false" outlineLevel="0" collapsed="false">
      <c r="A15" s="4" t="s">
        <v>13</v>
      </c>
      <c r="B15" s="5" t="n">
        <v>220</v>
      </c>
    </row>
    <row r="16" customFormat="false" ht="15" hidden="false" customHeight="false" outlineLevel="0" collapsed="false">
      <c r="A16" s="4" t="s">
        <v>14</v>
      </c>
      <c r="B16" s="5" t="n">
        <v>250</v>
      </c>
    </row>
    <row r="17" customFormat="false" ht="15" hidden="false" customHeight="false" outlineLevel="0" collapsed="false">
      <c r="A17" s="4" t="s">
        <v>15</v>
      </c>
      <c r="B17" s="5" t="n">
        <v>150</v>
      </c>
    </row>
    <row r="19" customFormat="false" ht="19.5" hidden="false" customHeight="true" outlineLevel="0" collapsed="false">
      <c r="A19" s="3" t="s">
        <v>16</v>
      </c>
      <c r="B19" s="3"/>
    </row>
    <row r="20" customFormat="false" ht="15" hidden="false" customHeight="false" outlineLevel="0" collapsed="false">
      <c r="A20" s="4" t="s">
        <v>17</v>
      </c>
      <c r="B20" s="7" t="n">
        <v>13</v>
      </c>
    </row>
    <row r="21" customFormat="false" ht="15" hidden="false" customHeight="false" outlineLevel="0" collapsed="false">
      <c r="A21" s="4" t="s">
        <v>18</v>
      </c>
      <c r="B21" s="5" t="n">
        <v>780</v>
      </c>
    </row>
    <row r="22" customFormat="false" ht="15" hidden="false" customHeight="false" outlineLevel="0" collapsed="false">
      <c r="A22" s="4" t="s">
        <v>19</v>
      </c>
      <c r="B22" s="5" t="n">
        <v>150</v>
      </c>
    </row>
    <row r="23" customFormat="false" ht="15" hidden="false" customHeight="false" outlineLevel="0" collapsed="false">
      <c r="A23" s="4" t="s">
        <v>20</v>
      </c>
      <c r="B23" s="5" t="n">
        <v>80</v>
      </c>
    </row>
    <row r="24" customFormat="false" ht="15" hidden="false" customHeight="false" outlineLevel="0" collapsed="false">
      <c r="A24" s="4" t="s">
        <v>21</v>
      </c>
      <c r="B24" s="5" t="n">
        <v>150</v>
      </c>
    </row>
    <row r="25" customFormat="false" ht="15" hidden="false" customHeight="false" outlineLevel="0" collapsed="false">
      <c r="A25" s="4" t="s">
        <v>22</v>
      </c>
      <c r="B25" s="5" t="n">
        <v>200</v>
      </c>
    </row>
    <row r="27" customFormat="false" ht="19.5" hidden="false" customHeight="true" outlineLevel="0" collapsed="false">
      <c r="A27" s="3" t="s">
        <v>23</v>
      </c>
      <c r="B27" s="3"/>
    </row>
    <row r="28" customFormat="false" ht="15" hidden="false" customHeight="false" outlineLevel="0" collapsed="false">
      <c r="A28" s="4" t="s">
        <v>24</v>
      </c>
      <c r="B28" s="7" t="n">
        <v>10</v>
      </c>
    </row>
    <row r="29" customFormat="false" ht="15" hidden="false" customHeight="false" outlineLevel="0" collapsed="false">
      <c r="A29" s="4" t="s">
        <v>25</v>
      </c>
      <c r="B29" s="7" t="n">
        <v>5</v>
      </c>
    </row>
    <row r="30" customFormat="false" ht="15" hidden="false" customHeight="false" outlineLevel="0" collapsed="false">
      <c r="A30" s="4" t="s">
        <v>26</v>
      </c>
      <c r="B30" s="7" t="n">
        <v>10</v>
      </c>
    </row>
    <row r="31" customFormat="false" ht="15" hidden="false" customHeight="false" outlineLevel="0" collapsed="false">
      <c r="A31" s="4" t="s">
        <v>27</v>
      </c>
      <c r="B31" s="5" t="n">
        <v>9500</v>
      </c>
    </row>
    <row r="32" customFormat="false" ht="15" hidden="false" customHeight="false" outlineLevel="0" collapsed="false">
      <c r="A32" s="4" t="s">
        <v>28</v>
      </c>
      <c r="B32" s="5" t="n">
        <v>79800</v>
      </c>
    </row>
    <row r="33" customFormat="false" ht="15" hidden="false" customHeight="false" outlineLevel="0" collapsed="false">
      <c r="A33" s="4" t="s">
        <v>29</v>
      </c>
      <c r="B33" s="5" t="n">
        <v>600</v>
      </c>
    </row>
    <row r="34" customFormat="false" ht="15" hidden="false" customHeight="false" outlineLevel="0" collapsed="false">
      <c r="A34" s="4" t="s">
        <v>30</v>
      </c>
      <c r="B34" s="5" t="n">
        <v>500</v>
      </c>
    </row>
    <row r="35" customFormat="false" ht="15" hidden="false" customHeight="false" outlineLevel="0" collapsed="false">
      <c r="A35" s="4" t="s">
        <v>21</v>
      </c>
      <c r="B35" s="5" t="n">
        <v>1000</v>
      </c>
    </row>
    <row r="36" customFormat="false" ht="15" hidden="false" customHeight="false" outlineLevel="0" collapsed="false">
      <c r="A36" s="4" t="s">
        <v>31</v>
      </c>
      <c r="B36" s="5" t="n">
        <v>1500</v>
      </c>
    </row>
    <row r="39" customFormat="false" ht="15" hidden="false" customHeight="false" outlineLevel="0" collapsed="false">
      <c r="A39" s="8" t="s">
        <v>32</v>
      </c>
      <c r="B39" s="8"/>
      <c r="C39" s="8"/>
      <c r="D39" s="8"/>
    </row>
  </sheetData>
  <mergeCells count="6">
    <mergeCell ref="A1:B1"/>
    <mergeCell ref="A2:D2"/>
    <mergeCell ref="A4:B4"/>
    <mergeCell ref="A19:B19"/>
    <mergeCell ref="A27:B27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</cols>
  <sheetData>
    <row r="1" customFormat="false" ht="19.7" hidden="false" customHeight="false" outlineLevel="0" collapsed="false">
      <c r="A1" s="1" t="s">
        <v>33</v>
      </c>
      <c r="B1" s="1"/>
      <c r="C1" s="1"/>
    </row>
    <row r="2" customFormat="false" ht="15" hidden="false" customHeight="false" outlineLevel="0" collapsed="false">
      <c r="A2" s="2" t="s">
        <v>34</v>
      </c>
      <c r="B2" s="2"/>
      <c r="C2" s="2"/>
    </row>
    <row r="4" customFormat="false" ht="19.5" hidden="false" customHeight="true" outlineLevel="0" collapsed="false">
      <c r="A4" s="9" t="s">
        <v>35</v>
      </c>
      <c r="B4" s="9" t="s">
        <v>36</v>
      </c>
      <c r="C4" s="9" t="s">
        <v>37</v>
      </c>
    </row>
    <row r="5" customFormat="false" ht="15" hidden="false" customHeight="false" outlineLevel="0" collapsed="false">
      <c r="A5" s="10" t="s">
        <v>38</v>
      </c>
      <c r="B5" s="11" t="n">
        <f aca="false">Assumptions!$B$20*Assumptions!$B$21</f>
        <v>10140</v>
      </c>
      <c r="C5" s="11" t="n">
        <f aca="false">B5*12</f>
        <v>121680</v>
      </c>
    </row>
    <row r="6" customFormat="false" ht="15" hidden="false" customHeight="false" outlineLevel="0" collapsed="false">
      <c r="A6" s="4" t="s">
        <v>39</v>
      </c>
      <c r="B6" s="12" t="n">
        <f aca="false">B5*Assumptions!$B$9</f>
        <v>3244.8</v>
      </c>
      <c r="C6" s="12" t="n">
        <f aca="false">C5*Assumptions!$B$9</f>
        <v>38937.6</v>
      </c>
    </row>
    <row r="7" customFormat="false" ht="15" hidden="false" customHeight="false" outlineLevel="0" collapsed="false">
      <c r="A7" s="4" t="s">
        <v>40</v>
      </c>
      <c r="B7" s="12" t="n">
        <f aca="false">B6*Assumptions!$B$10</f>
        <v>454.272</v>
      </c>
      <c r="C7" s="12" t="n">
        <f aca="false">C6*Assumptions!$B$10</f>
        <v>5451.264</v>
      </c>
    </row>
    <row r="8" customFormat="false" ht="15" hidden="false" customHeight="false" outlineLevel="0" collapsed="false">
      <c r="A8" s="4" t="s">
        <v>41</v>
      </c>
      <c r="B8" s="12" t="n">
        <f aca="false">B5*Assumptions!$B$11</f>
        <v>294.06</v>
      </c>
      <c r="C8" s="12" t="n">
        <f aca="false">C5*Assumptions!$B$11</f>
        <v>3528.72</v>
      </c>
    </row>
    <row r="9" customFormat="false" ht="15" hidden="false" customHeight="false" outlineLevel="0" collapsed="false">
      <c r="A9" s="4" t="s">
        <v>42</v>
      </c>
      <c r="B9" s="12" t="n">
        <f aca="false">B5*Assumptions!$B$12</f>
        <v>1216.8</v>
      </c>
      <c r="C9" s="12" t="n">
        <f aca="false">C5*Assumptions!$B$12</f>
        <v>14601.6</v>
      </c>
    </row>
    <row r="10" customFormat="false" ht="15" hidden="false" customHeight="false" outlineLevel="0" collapsed="false">
      <c r="A10" s="4" t="s">
        <v>43</v>
      </c>
      <c r="B10" s="12" t="n">
        <f aca="false">B5*Assumptions!$B$13</f>
        <v>709.8</v>
      </c>
      <c r="C10" s="12" t="n">
        <f aca="false">C5*Assumptions!$B$13</f>
        <v>8517.6</v>
      </c>
    </row>
    <row r="11" customFormat="false" ht="15" hidden="false" customHeight="false" outlineLevel="0" collapsed="false">
      <c r="A11" s="4" t="s">
        <v>44</v>
      </c>
      <c r="B11" s="12" t="n">
        <f aca="false">Assumptions!$B$14</f>
        <v>650</v>
      </c>
      <c r="C11" s="12" t="n">
        <f aca="false">B11*12</f>
        <v>7800</v>
      </c>
    </row>
    <row r="12" customFormat="false" ht="15" hidden="false" customHeight="false" outlineLevel="0" collapsed="false">
      <c r="A12" s="4" t="s">
        <v>45</v>
      </c>
      <c r="B12" s="12" t="n">
        <f aca="false">Assumptions!$B$15</f>
        <v>220</v>
      </c>
      <c r="C12" s="12" t="n">
        <f aca="false">B12*12</f>
        <v>2640</v>
      </c>
    </row>
    <row r="13" customFormat="false" ht="15" hidden="false" customHeight="false" outlineLevel="0" collapsed="false">
      <c r="A13" s="4" t="s">
        <v>46</v>
      </c>
      <c r="B13" s="12" t="n">
        <f aca="false">Assumptions!$B$22</f>
        <v>150</v>
      </c>
      <c r="C13" s="12" t="n">
        <f aca="false">B13*12</f>
        <v>1800</v>
      </c>
    </row>
    <row r="14" customFormat="false" ht="15" hidden="false" customHeight="false" outlineLevel="0" collapsed="false">
      <c r="A14" s="4" t="s">
        <v>47</v>
      </c>
      <c r="B14" s="12" t="n">
        <f aca="false">Assumptions!$B$16</f>
        <v>250</v>
      </c>
      <c r="C14" s="12" t="n">
        <f aca="false">B14*12</f>
        <v>3000</v>
      </c>
    </row>
    <row r="15" customFormat="false" ht="15" hidden="false" customHeight="false" outlineLevel="0" collapsed="false">
      <c r="A15" s="4" t="s">
        <v>48</v>
      </c>
      <c r="B15" s="12" t="n">
        <f aca="false">Assumptions!$B$17</f>
        <v>150</v>
      </c>
      <c r="C15" s="12" t="n">
        <f aca="false">B15*12</f>
        <v>1800</v>
      </c>
    </row>
    <row r="16" customFormat="false" ht="15" hidden="false" customHeight="false" outlineLevel="0" collapsed="false">
      <c r="A16" s="4" t="s">
        <v>49</v>
      </c>
      <c r="B16" s="12" t="n">
        <f aca="false">Assumptions!$B$23</f>
        <v>80</v>
      </c>
      <c r="C16" s="12" t="n">
        <f aca="false">B16*12</f>
        <v>960</v>
      </c>
    </row>
    <row r="17" customFormat="false" ht="15" hidden="false" customHeight="false" outlineLevel="0" collapsed="false">
      <c r="A17" s="4" t="s">
        <v>50</v>
      </c>
      <c r="B17" s="12" t="n">
        <f aca="false">Assumptions!$B$24</f>
        <v>150</v>
      </c>
      <c r="C17" s="12" t="n">
        <f aca="false">B17*12</f>
        <v>1800</v>
      </c>
    </row>
    <row r="18" customFormat="false" ht="15" hidden="false" customHeight="false" outlineLevel="0" collapsed="false">
      <c r="A18" s="4" t="s">
        <v>51</v>
      </c>
      <c r="B18" s="12" t="n">
        <f aca="false">Assumptions!$B$25</f>
        <v>200</v>
      </c>
      <c r="C18" s="12" t="n">
        <f aca="false">B18*12</f>
        <v>2400</v>
      </c>
    </row>
    <row r="19" customFormat="false" ht="15" hidden="false" customHeight="false" outlineLevel="0" collapsed="false">
      <c r="A19" s="10" t="s">
        <v>52</v>
      </c>
      <c r="B19" s="11" t="n">
        <f aca="false">SUM(B6:B18)</f>
        <v>7769.732</v>
      </c>
      <c r="C19" s="11" t="n">
        <f aca="false">SUM(C6:C18)</f>
        <v>93236.784</v>
      </c>
    </row>
    <row r="20" customFormat="false" ht="15" hidden="false" customHeight="false" outlineLevel="0" collapsed="false">
      <c r="A20" s="10" t="s">
        <v>53</v>
      </c>
      <c r="B20" s="11" t="n">
        <f aca="false">B5-B19</f>
        <v>2370.268</v>
      </c>
      <c r="C20" s="11" t="n">
        <f aca="false">C5-C19</f>
        <v>28443.216</v>
      </c>
    </row>
    <row r="21" customFormat="false" ht="15" hidden="false" customHeight="false" outlineLevel="0" collapsed="false">
      <c r="A21" s="13" t="s">
        <v>54</v>
      </c>
      <c r="B21" s="14" t="n">
        <f aca="false">B20/B5</f>
        <v>0.233754240631164</v>
      </c>
      <c r="C21" s="14" t="n">
        <f aca="false">C20/C5</f>
        <v>0.233754240631164</v>
      </c>
    </row>
    <row r="23" customFormat="false" ht="27.75" hidden="false" customHeight="true" outlineLevel="0" collapsed="false">
      <c r="A23" s="15" t="s">
        <v>55</v>
      </c>
      <c r="B23" s="15"/>
      <c r="C23" s="15"/>
    </row>
  </sheetData>
  <mergeCells count="3">
    <mergeCell ref="A1:C1"/>
    <mergeCell ref="A2:C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</cols>
  <sheetData>
    <row r="1" customFormat="false" ht="19.7" hidden="false" customHeight="false" outlineLevel="0" collapsed="false">
      <c r="A1" s="1" t="s">
        <v>56</v>
      </c>
      <c r="B1" s="1"/>
      <c r="C1" s="1"/>
    </row>
    <row r="2" customFormat="false" ht="15" hidden="false" customHeight="false" outlineLevel="0" collapsed="false">
      <c r="A2" s="2" t="s">
        <v>57</v>
      </c>
      <c r="B2" s="2"/>
      <c r="C2" s="2"/>
    </row>
    <row r="4" customFormat="false" ht="19.5" hidden="false" customHeight="true" outlineLevel="0" collapsed="false">
      <c r="A4" s="9" t="s">
        <v>35</v>
      </c>
      <c r="B4" s="9" t="s">
        <v>36</v>
      </c>
      <c r="C4" s="9" t="s">
        <v>37</v>
      </c>
    </row>
    <row r="5" customFormat="false" ht="15" hidden="false" customHeight="false" outlineLevel="0" collapsed="false">
      <c r="A5" s="10" t="s">
        <v>38</v>
      </c>
      <c r="B5" s="11" t="n">
        <f aca="false">Assumptions!$B$28*Assumptions!$B$31</f>
        <v>95000</v>
      </c>
      <c r="C5" s="11" t="n">
        <f aca="false">B5*12</f>
        <v>1140000</v>
      </c>
    </row>
    <row r="6" customFormat="false" ht="15" hidden="false" customHeight="false" outlineLevel="0" collapsed="false">
      <c r="A6" s="4" t="s">
        <v>39</v>
      </c>
      <c r="B6" s="12" t="n">
        <f aca="false">B5*Assumptions!$B$9</f>
        <v>30400</v>
      </c>
      <c r="C6" s="12" t="n">
        <f aca="false">C5*Assumptions!$B$9</f>
        <v>364800</v>
      </c>
    </row>
    <row r="7" customFormat="false" ht="15" hidden="false" customHeight="false" outlineLevel="0" collapsed="false">
      <c r="A7" s="4" t="s">
        <v>40</v>
      </c>
      <c r="B7" s="12" t="n">
        <f aca="false">B6*Assumptions!$B$10</f>
        <v>4256</v>
      </c>
      <c r="C7" s="12" t="n">
        <f aca="false">C6*Assumptions!$B$10</f>
        <v>51072</v>
      </c>
    </row>
    <row r="8" customFormat="false" ht="15" hidden="false" customHeight="false" outlineLevel="0" collapsed="false">
      <c r="A8" s="4" t="s">
        <v>58</v>
      </c>
      <c r="B8" s="12" t="n">
        <f aca="false">Assumptions!$B$32/12</f>
        <v>6650</v>
      </c>
      <c r="C8" s="12" t="n">
        <f aca="false">Assumptions!$B$32</f>
        <v>79800</v>
      </c>
    </row>
    <row r="9" customFormat="false" ht="15" hidden="false" customHeight="false" outlineLevel="0" collapsed="false">
      <c r="A9" s="4" t="s">
        <v>41</v>
      </c>
      <c r="B9" s="12" t="n">
        <f aca="false">B5*Assumptions!$B$11</f>
        <v>2755</v>
      </c>
      <c r="C9" s="12" t="n">
        <f aca="false">C5*Assumptions!$B$11</f>
        <v>33060</v>
      </c>
    </row>
    <row r="10" customFormat="false" ht="15" hidden="false" customHeight="false" outlineLevel="0" collapsed="false">
      <c r="A10" s="4" t="s">
        <v>42</v>
      </c>
      <c r="B10" s="12" t="n">
        <f aca="false">B5*Assumptions!$B$12</f>
        <v>11400</v>
      </c>
      <c r="C10" s="12" t="n">
        <f aca="false">C5*Assumptions!$B$12</f>
        <v>136800</v>
      </c>
    </row>
    <row r="11" customFormat="false" ht="15" hidden="false" customHeight="false" outlineLevel="0" collapsed="false">
      <c r="A11" s="4" t="s">
        <v>43</v>
      </c>
      <c r="B11" s="12" t="n">
        <f aca="false">B5*Assumptions!$B$13</f>
        <v>6650</v>
      </c>
      <c r="C11" s="12" t="n">
        <f aca="false">C5*Assumptions!$B$13</f>
        <v>79800</v>
      </c>
    </row>
    <row r="12" customFormat="false" ht="15" hidden="false" customHeight="false" outlineLevel="0" collapsed="false">
      <c r="A12" s="4" t="s">
        <v>59</v>
      </c>
      <c r="B12" s="12" t="n">
        <f aca="false">Assumptions!$B$29*Assumptions!$B$14</f>
        <v>3250</v>
      </c>
      <c r="C12" s="12" t="n">
        <f aca="false">B12*12</f>
        <v>39000</v>
      </c>
    </row>
    <row r="13" customFormat="false" ht="15" hidden="false" customHeight="false" outlineLevel="0" collapsed="false">
      <c r="A13" s="4" t="s">
        <v>60</v>
      </c>
      <c r="B13" s="12" t="n">
        <f aca="false">Assumptions!$B$29*Assumptions!$B$15</f>
        <v>1100</v>
      </c>
      <c r="C13" s="12" t="n">
        <f aca="false">B13*12</f>
        <v>13200</v>
      </c>
    </row>
    <row r="14" customFormat="false" ht="15" hidden="false" customHeight="false" outlineLevel="0" collapsed="false">
      <c r="A14" s="4" t="s">
        <v>61</v>
      </c>
      <c r="B14" s="12" t="n">
        <f aca="false">Assumptions!$B$33</f>
        <v>600</v>
      </c>
      <c r="C14" s="12" t="n">
        <f aca="false">B14*12</f>
        <v>7200</v>
      </c>
    </row>
    <row r="15" customFormat="false" ht="15" hidden="false" customHeight="false" outlineLevel="0" collapsed="false">
      <c r="A15" s="4" t="s">
        <v>62</v>
      </c>
      <c r="B15" s="12" t="n">
        <f aca="false">Assumptions!$B$29*Assumptions!$B$16</f>
        <v>1250</v>
      </c>
      <c r="C15" s="12" t="n">
        <f aca="false">B15*12</f>
        <v>15000</v>
      </c>
    </row>
    <row r="16" customFormat="false" ht="15" hidden="false" customHeight="false" outlineLevel="0" collapsed="false">
      <c r="A16" s="4" t="s">
        <v>63</v>
      </c>
      <c r="B16" s="12" t="n">
        <f aca="false">Assumptions!$B$29*Assumptions!$B$17</f>
        <v>750</v>
      </c>
      <c r="C16" s="12" t="n">
        <f aca="false">B16*12</f>
        <v>9000</v>
      </c>
    </row>
    <row r="17" customFormat="false" ht="15" hidden="false" customHeight="false" outlineLevel="0" collapsed="false">
      <c r="A17" s="4" t="s">
        <v>64</v>
      </c>
      <c r="B17" s="12" t="n">
        <f aca="false">Assumptions!$B$34</f>
        <v>500</v>
      </c>
      <c r="C17" s="12" t="n">
        <f aca="false">B17*12</f>
        <v>6000</v>
      </c>
    </row>
    <row r="18" customFormat="false" ht="15" hidden="false" customHeight="false" outlineLevel="0" collapsed="false">
      <c r="A18" s="4" t="s">
        <v>50</v>
      </c>
      <c r="B18" s="12" t="n">
        <f aca="false">Assumptions!$B$35</f>
        <v>1000</v>
      </c>
      <c r="C18" s="12" t="n">
        <f aca="false">B18*12</f>
        <v>12000</v>
      </c>
    </row>
    <row r="19" customFormat="false" ht="15" hidden="false" customHeight="false" outlineLevel="0" collapsed="false">
      <c r="A19" s="4" t="s">
        <v>65</v>
      </c>
      <c r="B19" s="12" t="n">
        <f aca="false">Assumptions!$B$36</f>
        <v>1500</v>
      </c>
      <c r="C19" s="12" t="n">
        <f aca="false">B19*12</f>
        <v>18000</v>
      </c>
    </row>
    <row r="20" customFormat="false" ht="15" hidden="false" customHeight="false" outlineLevel="0" collapsed="false">
      <c r="A20" s="10" t="s">
        <v>52</v>
      </c>
      <c r="B20" s="11" t="n">
        <f aca="false">SUM(B6:B19)</f>
        <v>72061</v>
      </c>
      <c r="C20" s="11" t="n">
        <f aca="false">SUM(C6:C19)</f>
        <v>864732</v>
      </c>
    </row>
    <row r="21" customFormat="false" ht="15" hidden="false" customHeight="false" outlineLevel="0" collapsed="false">
      <c r="A21" s="10" t="s">
        <v>66</v>
      </c>
      <c r="B21" s="11" t="n">
        <f aca="false">B5-B20</f>
        <v>22939</v>
      </c>
      <c r="C21" s="11" t="n">
        <f aca="false">C5-C20</f>
        <v>275268</v>
      </c>
    </row>
    <row r="22" customFormat="false" ht="15" hidden="false" customHeight="false" outlineLevel="0" collapsed="false">
      <c r="A22" s="13" t="s">
        <v>54</v>
      </c>
      <c r="B22" s="14" t="n">
        <f aca="false">B21/B5</f>
        <v>0.241463157894737</v>
      </c>
      <c r="C22" s="14" t="n">
        <f aca="false">C21/C5</f>
        <v>0.241463157894737</v>
      </c>
    </row>
    <row r="24" customFormat="false" ht="27.75" hidden="false" customHeight="true" outlineLevel="0" collapsed="false">
      <c r="A24" s="15" t="s">
        <v>67</v>
      </c>
      <c r="B24" s="15"/>
      <c r="C24" s="15"/>
    </row>
  </sheetData>
  <mergeCells count="3">
    <mergeCell ref="A1:C1"/>
    <mergeCell ref="A2:C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4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68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70</v>
      </c>
      <c r="B4" s="3"/>
      <c r="D4" s="3" t="s">
        <v>71</v>
      </c>
      <c r="E4" s="3"/>
    </row>
    <row r="5" customFormat="false" ht="19.5" hidden="false" customHeight="true" outlineLevel="0" collapsed="false">
      <c r="A5" s="9" t="s">
        <v>72</v>
      </c>
      <c r="B5" s="9" t="s">
        <v>73</v>
      </c>
      <c r="D5" s="9" t="s">
        <v>72</v>
      </c>
      <c r="E5" s="9" t="s">
        <v>73</v>
      </c>
    </row>
    <row r="6" customFormat="false" ht="15" hidden="false" customHeight="false" outlineLevel="0" collapsed="false">
      <c r="A6" s="4" t="s">
        <v>74</v>
      </c>
      <c r="B6" s="16" t="n">
        <v>4000</v>
      </c>
      <c r="D6" s="4" t="s">
        <v>75</v>
      </c>
      <c r="E6" s="16" t="n">
        <v>22500</v>
      </c>
    </row>
    <row r="7" customFormat="false" ht="15" hidden="false" customHeight="false" outlineLevel="0" collapsed="false">
      <c r="A7" s="4" t="s">
        <v>76</v>
      </c>
      <c r="B7" s="16" t="n">
        <v>500</v>
      </c>
      <c r="D7" s="4" t="s">
        <v>77</v>
      </c>
      <c r="E7" s="16" t="n">
        <v>7500</v>
      </c>
    </row>
    <row r="8" customFormat="false" ht="15" hidden="false" customHeight="false" outlineLevel="0" collapsed="false">
      <c r="A8" s="4" t="s">
        <v>78</v>
      </c>
      <c r="B8" s="16" t="n">
        <v>1500</v>
      </c>
      <c r="D8" s="4" t="s">
        <v>79</v>
      </c>
      <c r="E8" s="16" t="n">
        <v>12500</v>
      </c>
    </row>
    <row r="9" customFormat="false" ht="15" hidden="false" customHeight="false" outlineLevel="0" collapsed="false">
      <c r="A9" s="4" t="s">
        <v>80</v>
      </c>
      <c r="B9" s="16" t="n">
        <v>300</v>
      </c>
      <c r="D9" s="4" t="s">
        <v>81</v>
      </c>
      <c r="E9" s="16" t="n">
        <v>30000</v>
      </c>
    </row>
    <row r="10" customFormat="false" ht="15" hidden="false" customHeight="false" outlineLevel="0" collapsed="false">
      <c r="A10" s="4" t="s">
        <v>82</v>
      </c>
      <c r="B10" s="16" t="n">
        <v>600</v>
      </c>
      <c r="D10" s="4" t="s">
        <v>83</v>
      </c>
      <c r="E10" s="16" t="n">
        <v>5000</v>
      </c>
    </row>
    <row r="11" customFormat="false" ht="15" hidden="false" customHeight="false" outlineLevel="0" collapsed="false">
      <c r="A11" s="4" t="s">
        <v>84</v>
      </c>
      <c r="B11" s="16" t="n">
        <v>800</v>
      </c>
      <c r="D11" s="4" t="s">
        <v>85</v>
      </c>
      <c r="E11" s="16" t="n">
        <v>9000</v>
      </c>
    </row>
    <row r="12" customFormat="false" ht="15" hidden="false" customHeight="false" outlineLevel="0" collapsed="false">
      <c r="A12" s="4" t="s">
        <v>86</v>
      </c>
      <c r="B12" s="16" t="n">
        <v>200</v>
      </c>
    </row>
    <row r="13" customFormat="false" ht="15" hidden="false" customHeight="false" outlineLevel="0" collapsed="false">
      <c r="A13" s="4" t="s">
        <v>87</v>
      </c>
      <c r="B13" s="16" t="n">
        <v>150</v>
      </c>
    </row>
    <row r="14" customFormat="false" ht="15" hidden="false" customHeight="false" outlineLevel="0" collapsed="false">
      <c r="A14" s="4" t="s">
        <v>88</v>
      </c>
      <c r="B14" s="16" t="n">
        <v>600</v>
      </c>
    </row>
    <row r="15" customFormat="false" ht="15" hidden="false" customHeight="false" outlineLevel="0" collapsed="false">
      <c r="A15" s="4" t="s">
        <v>89</v>
      </c>
      <c r="B15" s="16" t="n">
        <v>4000</v>
      </c>
    </row>
    <row r="16" customFormat="false" ht="15" hidden="false" customHeight="false" outlineLevel="0" collapsed="false">
      <c r="A16" s="4" t="s">
        <v>90</v>
      </c>
      <c r="B16" s="16" t="n">
        <v>1300</v>
      </c>
    </row>
    <row r="17" customFormat="false" ht="15" hidden="false" customHeight="false" outlineLevel="0" collapsed="false">
      <c r="A17" s="10" t="s">
        <v>91</v>
      </c>
      <c r="B17" s="11" t="n">
        <f aca="false">SUM(B6:B16)</f>
        <v>13950</v>
      </c>
      <c r="D17" s="10" t="s">
        <v>91</v>
      </c>
      <c r="E17" s="11" t="n">
        <f aca="false">SUM(E6:E11)</f>
        <v>86500</v>
      </c>
    </row>
    <row r="19" customFormat="false" ht="27.75" hidden="false" customHeight="true" outlineLevel="0" collapsed="false">
      <c r="A19" s="15" t="s">
        <v>92</v>
      </c>
      <c r="B19" s="15"/>
      <c r="C19" s="15"/>
      <c r="D19" s="15"/>
      <c r="E19" s="15"/>
    </row>
  </sheetData>
  <mergeCells count="5">
    <mergeCell ref="A1:E1"/>
    <mergeCell ref="A2:E2"/>
    <mergeCell ref="A4:B4"/>
    <mergeCell ref="D4:E4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2026-09-19T19:00:05Z</dcterms:created>
  <dc:creator>openpyxl</dc:creator>
  <dc:description/>
  <dc:language>en-US</dc:language>
  <cp:lastModifiedBy/>
  <dcterms:modified xsi:type="dcterms:W3CDTF">2026-09-19T19:00:05Z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
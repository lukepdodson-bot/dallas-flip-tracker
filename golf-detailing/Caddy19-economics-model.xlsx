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ingle Club (Monthly + Annual)" sheetId="2" state="visible" r:id="rId2"/>
    <sheet name="Scaled DFW (Monthly + Annual)" sheetId="3" state="visible" r:id="rId3"/>
    <sheet name="Startup Co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b val="1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0" fontId="6" fillId="0" borderId="0" pivotButton="0" quotePrefix="0" xfId="0"/>
    <xf numFmtId="0" fontId="3" fillId="4" borderId="1" applyAlignment="1" pivotButton="0" quotePrefix="0" xfId="0">
      <alignment horizontal="center"/>
    </xf>
    <xf numFmtId="0" fontId="7" fillId="5" borderId="0" pivotButton="0" quotePrefix="0" xfId="0"/>
    <xf numFmtId="164" fontId="7" fillId="5" borderId="1" pivotButton="0" quotePrefix="0" xfId="0"/>
    <xf numFmtId="164" fontId="8" fillId="0" borderId="1" pivotButton="0" quotePrefix="0" xfId="0"/>
    <xf numFmtId="0" fontId="7" fillId="0" borderId="0" pivotButton="0" quotePrefix="0" xfId="0"/>
    <xf numFmtId="165" fontId="7" fillId="0" borderId="1" pivotButton="0" quotePrefix="0" xfId="0"/>
    <xf numFmtId="0" fontId="6" fillId="0" borderId="0" applyAlignment="1" pivotButton="0" quotePrefix="0" xfId="0">
      <alignment vertical="top" wrapText="1"/>
    </xf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60" customWidth="1" min="4" max="4"/>
  </cols>
  <sheetData>
    <row r="1">
      <c r="A1" s="1" t="inlineStr">
        <is>
          <t>Caddy 19 — Model Assumptions</t>
        </is>
      </c>
    </row>
    <row r="2">
      <c r="A2" s="2" t="inlineStr">
        <is>
          <t>Mobile car-detailing at golf/country clubs — Dallas-Fort Worth. Edit yellow cells; every other tab recalculates.</t>
        </is>
      </c>
    </row>
    <row r="4" ht="20" customHeight="1">
      <c r="A4" s="3" t="inlineStr">
        <is>
          <t>SHARED DRIVERS</t>
        </is>
      </c>
    </row>
    <row r="5">
      <c r="A5" s="4" t="inlineStr">
        <is>
          <t>Avg ticket — The Turn (express)</t>
        </is>
      </c>
      <c r="B5" s="5" t="n">
        <v>85</v>
      </c>
    </row>
    <row r="6">
      <c r="A6" s="4" t="inlineStr">
        <is>
          <t>Avg ticket — Full Round</t>
        </is>
      </c>
      <c r="B6" s="5" t="n">
        <v>210</v>
      </c>
    </row>
    <row r="7">
      <c r="A7" s="4" t="inlineStr">
        <is>
          <t>Avg ticket — Championship</t>
        </is>
      </c>
      <c r="B7" s="5" t="n">
        <v>400</v>
      </c>
    </row>
    <row r="8">
      <c r="A8" s="4" t="inlineStr">
        <is>
          <t>Blended avg ticket</t>
        </is>
      </c>
      <c r="B8" s="5" t="n">
        <v>165</v>
      </c>
    </row>
    <row r="9">
      <c r="A9" s="4" t="inlineStr">
        <is>
          <t>Tech labor % of service revenue</t>
        </is>
      </c>
      <c r="B9" s="6" t="n">
        <v>0.32</v>
      </c>
    </row>
    <row r="10">
      <c r="A10" s="4" t="inlineStr">
        <is>
          <t>Payroll burden (employer tax + workers' comp) % of wages</t>
        </is>
      </c>
      <c r="B10" s="6" t="n">
        <v>0.14</v>
      </c>
    </row>
    <row r="11">
      <c r="A11" s="4" t="inlineStr">
        <is>
          <t>Credit-card processing % of revenue</t>
        </is>
      </c>
      <c r="B11" s="6" t="n">
        <v>0.029</v>
      </c>
    </row>
    <row r="12">
      <c r="A12" s="4" t="inlineStr">
        <is>
          <t>Club revenue share % of revenue</t>
        </is>
      </c>
      <c r="B12" s="6" t="n">
        <v>0.12</v>
      </c>
    </row>
    <row r="13">
      <c r="A13" s="4" t="inlineStr">
        <is>
          <t>Supplies/consumables % of revenue</t>
        </is>
      </c>
      <c r="B13" s="6" t="n">
        <v>0.07000000000000001</v>
      </c>
    </row>
    <row r="14">
      <c r="A14" s="4" t="inlineStr">
        <is>
          <t>Vehicle lease $/month per rig</t>
        </is>
      </c>
      <c r="B14" s="5" t="n">
        <v>650</v>
      </c>
    </row>
    <row r="15">
      <c r="A15" s="4" t="inlineStr">
        <is>
          <t>Commercial auto insurance $/month per rig</t>
        </is>
      </c>
      <c r="B15" s="5" t="n">
        <v>220</v>
      </c>
    </row>
    <row r="16">
      <c r="A16" s="4" t="inlineStr">
        <is>
          <t>Fuel $/month per rig</t>
        </is>
      </c>
      <c r="B16" s="5" t="n">
        <v>250</v>
      </c>
    </row>
    <row r="17">
      <c r="A17" s="4" t="inlineStr">
        <is>
          <t>Equipment upkeep/replacement reserve $/month per rig</t>
        </is>
      </c>
      <c r="B17" s="5" t="n">
        <v>150</v>
      </c>
    </row>
    <row r="19" ht="20" customHeight="1">
      <c r="A19" s="3" t="inlineStr">
        <is>
          <t>SINGLE-CLUB DRIVERS</t>
        </is>
      </c>
    </row>
    <row r="20">
      <c r="A20" s="4" t="inlineStr">
        <is>
          <t>Club-days per month</t>
        </is>
      </c>
      <c r="B20" s="7" t="n">
        <v>13</v>
      </c>
    </row>
    <row r="21">
      <c r="A21" s="4" t="inlineStr">
        <is>
          <t>Revenue per club-day</t>
        </is>
      </c>
      <c r="B21" s="5" t="n">
        <v>780</v>
      </c>
    </row>
    <row r="22">
      <c r="A22" s="4" t="inlineStr">
        <is>
          <t>GL + garagekeepers + BOP insurance $/month</t>
        </is>
      </c>
      <c r="B22" s="5" t="n">
        <v>150</v>
      </c>
    </row>
    <row r="23">
      <c r="A23" s="4" t="inlineStr">
        <is>
          <t>Software/booking/phone $/month</t>
        </is>
      </c>
      <c r="B23" s="5" t="n">
        <v>80</v>
      </c>
    </row>
    <row r="24">
      <c r="A24" s="4" t="inlineStr">
        <is>
          <t>Marketing $/month</t>
        </is>
      </c>
      <c r="B24" s="5" t="n">
        <v>150</v>
      </c>
    </row>
    <row r="25">
      <c r="A25" s="4" t="inlineStr">
        <is>
          <t>Misc/contingency $/month</t>
        </is>
      </c>
      <c r="B25" s="5" t="n">
        <v>200</v>
      </c>
    </row>
    <row r="27" ht="20" customHeight="1">
      <c r="A27" s="3" t="inlineStr">
        <is>
          <t>SCALED-DFW DRIVERS</t>
        </is>
      </c>
    </row>
    <row r="28">
      <c r="A28" s="4" t="inlineStr">
        <is>
          <t>Number of clubs</t>
        </is>
      </c>
      <c r="B28" s="7" t="n">
        <v>10</v>
      </c>
    </row>
    <row r="29">
      <c r="A29" s="4" t="inlineStr">
        <is>
          <t>Number of rigs/crews</t>
        </is>
      </c>
      <c r="B29" s="7" t="n">
        <v>5</v>
      </c>
    </row>
    <row r="30">
      <c r="A30" s="4" t="inlineStr">
        <is>
          <t>Number of techs</t>
        </is>
      </c>
      <c r="B30" s="7" t="n">
        <v>10</v>
      </c>
    </row>
    <row r="31">
      <c r="A31" s="4" t="inlineStr">
        <is>
          <t>Revenue per club per month</t>
        </is>
      </c>
      <c r="B31" s="5" t="n">
        <v>9500</v>
      </c>
    </row>
    <row r="32">
      <c r="A32" s="4" t="inlineStr">
        <is>
          <t>Manager salary loaded $/year</t>
        </is>
      </c>
      <c r="B32" s="5" t="n">
        <v>79800</v>
      </c>
    </row>
    <row r="33">
      <c r="A33" s="4" t="inlineStr">
        <is>
          <t>GL + garagekeepers + BOP + umbrella $/month</t>
        </is>
      </c>
      <c r="B33" s="5" t="n">
        <v>600</v>
      </c>
    </row>
    <row r="34">
      <c r="A34" s="4" t="inlineStr">
        <is>
          <t>Software/booking/dispatch/phones $/month</t>
        </is>
      </c>
      <c r="B34" s="5" t="n">
        <v>500</v>
      </c>
    </row>
    <row r="35">
      <c r="A35" s="4" t="inlineStr">
        <is>
          <t>Marketing $/month</t>
        </is>
      </c>
      <c r="B35" s="5" t="n">
        <v>1000</v>
      </c>
    </row>
    <row r="36">
      <c r="A36" s="4" t="inlineStr">
        <is>
          <t>Accounting/admin/misc $/month</t>
        </is>
      </c>
      <c r="B36" s="5" t="n">
        <v>1500</v>
      </c>
    </row>
    <row r="39">
      <c r="A39" s="8" t="inlineStr">
        <is>
          <t>Legend: yellow-filled blue-text cells are editable inputs. All other cells contain formulas and recalculate automatically.</t>
        </is>
      </c>
    </row>
  </sheetData>
  <mergeCells count="6">
    <mergeCell ref="A4:B4"/>
    <mergeCell ref="A19:B19"/>
    <mergeCell ref="A39:D39"/>
    <mergeCell ref="A2:D2"/>
    <mergeCell ref="A1:B1"/>
    <mergeCell ref="A27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</cols>
  <sheetData>
    <row r="1">
      <c r="A1" s="1" t="inlineStr">
        <is>
          <t>Caddy 19 — Single Club P&amp;L</t>
        </is>
      </c>
    </row>
    <row r="2">
      <c r="A2" s="2" t="inlineStr">
        <is>
          <t>One club, one rig/crew. Monthly and annualized owner economics.</t>
        </is>
      </c>
    </row>
    <row r="4" ht="20" customHeight="1">
      <c r="A4" s="9" t="inlineStr">
        <is>
          <t>Line Item</t>
        </is>
      </c>
      <c r="B4" s="9" t="inlineStr">
        <is>
          <t>Monthly</t>
        </is>
      </c>
      <c r="C4" s="9" t="inlineStr">
        <is>
          <t>Annual</t>
        </is>
      </c>
    </row>
    <row r="5">
      <c r="A5" s="10" t="inlineStr">
        <is>
          <t>Revenue</t>
        </is>
      </c>
      <c r="B5" s="11">
        <f>Assumptions!$B$20*Assumptions!$B$21</f>
        <v/>
      </c>
      <c r="C5" s="11">
        <f>B5*12</f>
        <v/>
      </c>
    </row>
    <row r="6">
      <c r="A6" s="4" t="inlineStr">
        <is>
          <t>Tech labor</t>
        </is>
      </c>
      <c r="B6" s="12">
        <f>B5*Assumptions!$B$9</f>
        <v/>
      </c>
      <c r="C6" s="12">
        <f>C5*Assumptions!$B$9</f>
        <v/>
      </c>
    </row>
    <row r="7">
      <c r="A7" s="4" t="inlineStr">
        <is>
          <t>Payroll burden</t>
        </is>
      </c>
      <c r="B7" s="12">
        <f>B6*Assumptions!$B$10</f>
        <v/>
      </c>
      <c r="C7" s="12">
        <f>C6*Assumptions!$B$10</f>
        <v/>
      </c>
    </row>
    <row r="8">
      <c r="A8" s="4" t="inlineStr">
        <is>
          <t>Credit-card processing</t>
        </is>
      </c>
      <c r="B8" s="12">
        <f>B5*Assumptions!$B$11</f>
        <v/>
      </c>
      <c r="C8" s="12">
        <f>C5*Assumptions!$B$11</f>
        <v/>
      </c>
    </row>
    <row r="9">
      <c r="A9" s="4" t="inlineStr">
        <is>
          <t>Club revenue share</t>
        </is>
      </c>
      <c r="B9" s="12">
        <f>B5*Assumptions!$B$12</f>
        <v/>
      </c>
      <c r="C9" s="12">
        <f>C5*Assumptions!$B$12</f>
        <v/>
      </c>
    </row>
    <row r="10">
      <c r="A10" s="4" t="inlineStr">
        <is>
          <t>Supplies</t>
        </is>
      </c>
      <c r="B10" s="12">
        <f>B5*Assumptions!$B$13</f>
        <v/>
      </c>
      <c r="C10" s="12">
        <f>C5*Assumptions!$B$13</f>
        <v/>
      </c>
    </row>
    <row r="11">
      <c r="A11" s="4" t="inlineStr">
        <is>
          <t>Vehicle lease (1 rig)</t>
        </is>
      </c>
      <c r="B11" s="12">
        <f>Assumptions!$B$14</f>
        <v/>
      </c>
      <c r="C11" s="12">
        <f>B11*12</f>
        <v/>
      </c>
    </row>
    <row r="12">
      <c r="A12" s="4" t="inlineStr">
        <is>
          <t>Commercial auto insurance (1 rig)</t>
        </is>
      </c>
      <c r="B12" s="12">
        <f>Assumptions!$B$15</f>
        <v/>
      </c>
      <c r="C12" s="12">
        <f>B12*12</f>
        <v/>
      </c>
    </row>
    <row r="13">
      <c r="A13" s="4" t="inlineStr">
        <is>
          <t>GL/garagekeepers/BOP</t>
        </is>
      </c>
      <c r="B13" s="12">
        <f>Assumptions!$B$22</f>
        <v/>
      </c>
      <c r="C13" s="12">
        <f>B13*12</f>
        <v/>
      </c>
    </row>
    <row r="14">
      <c r="A14" s="4" t="inlineStr">
        <is>
          <t>Fuel (1 rig)</t>
        </is>
      </c>
      <c r="B14" s="12">
        <f>Assumptions!$B$16</f>
        <v/>
      </c>
      <c r="C14" s="12">
        <f>B14*12</f>
        <v/>
      </c>
    </row>
    <row r="15">
      <c r="A15" s="4" t="inlineStr">
        <is>
          <t>Equipment upkeep (1 rig)</t>
        </is>
      </c>
      <c r="B15" s="12">
        <f>Assumptions!$B$17</f>
        <v/>
      </c>
      <c r="C15" s="12">
        <f>B15*12</f>
        <v/>
      </c>
    </row>
    <row r="16">
      <c r="A16" s="4" t="inlineStr">
        <is>
          <t>Software/booking/phone</t>
        </is>
      </c>
      <c r="B16" s="12">
        <f>Assumptions!$B$23</f>
        <v/>
      </c>
      <c r="C16" s="12">
        <f>B16*12</f>
        <v/>
      </c>
    </row>
    <row r="17">
      <c r="A17" s="4" t="inlineStr">
        <is>
          <t>Marketing</t>
        </is>
      </c>
      <c r="B17" s="12">
        <f>Assumptions!$B$24</f>
        <v/>
      </c>
      <c r="C17" s="12">
        <f>B17*12</f>
        <v/>
      </c>
    </row>
    <row r="18">
      <c r="A18" s="4" t="inlineStr">
        <is>
          <t>Misc/contingency</t>
        </is>
      </c>
      <c r="B18" s="12">
        <f>Assumptions!$B$25</f>
        <v/>
      </c>
      <c r="C18" s="12">
        <f>B18*12</f>
        <v/>
      </c>
    </row>
    <row r="19">
      <c r="A19" s="10" t="inlineStr">
        <is>
          <t>TOTAL OPERATING COSTS</t>
        </is>
      </c>
      <c r="B19" s="11">
        <f>SUM(B6:B18)</f>
        <v/>
      </c>
      <c r="C19" s="11">
        <f>SUM(C6:C18)</f>
        <v/>
      </c>
    </row>
    <row r="20">
      <c r="A20" s="10" t="inlineStr">
        <is>
          <t>OWNER CASH FLOW before tax &amp; owner salary</t>
        </is>
      </c>
      <c r="B20" s="11">
        <f>B5-B19</f>
        <v/>
      </c>
      <c r="C20" s="11">
        <f>C5-C19</f>
        <v/>
      </c>
    </row>
    <row r="21">
      <c r="A21" s="13" t="inlineStr">
        <is>
          <t>Operating margin %</t>
        </is>
      </c>
      <c r="B21" s="14">
        <f>B20/B5</f>
        <v/>
      </c>
      <c r="C21" s="14">
        <f>C20/C5</f>
        <v/>
      </c>
    </row>
    <row r="23" ht="28" customHeight="1">
      <c r="A23" s="15" t="inlineStr">
        <is>
          <t>Note: Assumes Luke provides the sales/management labor (unpaid here). One club is a modest owner-operator business; scale is where the real income is.</t>
        </is>
      </c>
    </row>
  </sheetData>
  <mergeCells count="3">
    <mergeCell ref="A1:C1"/>
    <mergeCell ref="A23:C23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</cols>
  <sheetData>
    <row r="1">
      <c r="A1" s="1" t="inlineStr">
        <is>
          <t>Caddy 19 — Scaled DFW P&amp;L</t>
        </is>
      </c>
    </row>
    <row r="2">
      <c r="A2" s="2" t="inlineStr">
        <is>
          <t>Multi-club, multi-rig operation with a manager running day-to-day. Monthly and annualized.</t>
        </is>
      </c>
    </row>
    <row r="4" ht="20" customHeight="1">
      <c r="A4" s="9" t="inlineStr">
        <is>
          <t>Line Item</t>
        </is>
      </c>
      <c r="B4" s="9" t="inlineStr">
        <is>
          <t>Monthly</t>
        </is>
      </c>
      <c r="C4" s="9" t="inlineStr">
        <is>
          <t>Annual</t>
        </is>
      </c>
    </row>
    <row r="5">
      <c r="A5" s="10" t="inlineStr">
        <is>
          <t>Revenue</t>
        </is>
      </c>
      <c r="B5" s="11">
        <f>Assumptions!$B$28*Assumptions!$B$31</f>
        <v/>
      </c>
      <c r="C5" s="11">
        <f>B5*12</f>
        <v/>
      </c>
    </row>
    <row r="6">
      <c r="A6" s="4" t="inlineStr">
        <is>
          <t>Tech labor</t>
        </is>
      </c>
      <c r="B6" s="12">
        <f>B5*Assumptions!$B$9</f>
        <v/>
      </c>
      <c r="C6" s="12">
        <f>C5*Assumptions!$B$9</f>
        <v/>
      </c>
    </row>
    <row r="7">
      <c r="A7" s="4" t="inlineStr">
        <is>
          <t>Payroll burden</t>
        </is>
      </c>
      <c r="B7" s="12">
        <f>B6*Assumptions!$B$10</f>
        <v/>
      </c>
      <c r="C7" s="12">
        <f>C6*Assumptions!$B$10</f>
        <v/>
      </c>
    </row>
    <row r="8">
      <c r="A8" s="4" t="inlineStr">
        <is>
          <t>Manager salary</t>
        </is>
      </c>
      <c r="B8" s="12">
        <f>Assumptions!$B$32/12</f>
        <v/>
      </c>
      <c r="C8" s="12">
        <f>Assumptions!$B$32</f>
        <v/>
      </c>
    </row>
    <row r="9">
      <c r="A9" s="4" t="inlineStr">
        <is>
          <t>Credit-card processing</t>
        </is>
      </c>
      <c r="B9" s="12">
        <f>B5*Assumptions!$B$11</f>
        <v/>
      </c>
      <c r="C9" s="12">
        <f>C5*Assumptions!$B$11</f>
        <v/>
      </c>
    </row>
    <row r="10">
      <c r="A10" s="4" t="inlineStr">
        <is>
          <t>Club revenue share</t>
        </is>
      </c>
      <c r="B10" s="12">
        <f>B5*Assumptions!$B$12</f>
        <v/>
      </c>
      <c r="C10" s="12">
        <f>C5*Assumptions!$B$12</f>
        <v/>
      </c>
    </row>
    <row r="11">
      <c r="A11" s="4" t="inlineStr">
        <is>
          <t>Supplies</t>
        </is>
      </c>
      <c r="B11" s="12">
        <f>B5*Assumptions!$B$13</f>
        <v/>
      </c>
      <c r="C11" s="12">
        <f>C5*Assumptions!$B$13</f>
        <v/>
      </c>
    </row>
    <row r="12">
      <c r="A12" s="4" t="inlineStr">
        <is>
          <t>Vehicle leases</t>
        </is>
      </c>
      <c r="B12" s="12">
        <f>Assumptions!$B$29*Assumptions!$B$14</f>
        <v/>
      </c>
      <c r="C12" s="12">
        <f>B12*12</f>
        <v/>
      </c>
    </row>
    <row r="13">
      <c r="A13" s="4" t="inlineStr">
        <is>
          <t>Commercial auto insurance</t>
        </is>
      </c>
      <c r="B13" s="12">
        <f>Assumptions!$B$29*Assumptions!$B$15</f>
        <v/>
      </c>
      <c r="C13" s="12">
        <f>B13*12</f>
        <v/>
      </c>
    </row>
    <row r="14">
      <c r="A14" s="4" t="inlineStr">
        <is>
          <t>GL/garagekeepers/BOP/umbrella</t>
        </is>
      </c>
      <c r="B14" s="12">
        <f>Assumptions!$B$33</f>
        <v/>
      </c>
      <c r="C14" s="12">
        <f>B14*12</f>
        <v/>
      </c>
    </row>
    <row r="15">
      <c r="A15" s="4" t="inlineStr">
        <is>
          <t>Fuel</t>
        </is>
      </c>
      <c r="B15" s="12">
        <f>Assumptions!$B$29*Assumptions!$B$16</f>
        <v/>
      </c>
      <c r="C15" s="12">
        <f>B15*12</f>
        <v/>
      </c>
    </row>
    <row r="16">
      <c r="A16" s="4" t="inlineStr">
        <is>
          <t>Equipment upkeep</t>
        </is>
      </c>
      <c r="B16" s="12">
        <f>Assumptions!$B$29*Assumptions!$B$17</f>
        <v/>
      </c>
      <c r="C16" s="12">
        <f>B16*12</f>
        <v/>
      </c>
    </row>
    <row r="17">
      <c r="A17" s="4" t="inlineStr">
        <is>
          <t>Software/booking/dispatch/phones</t>
        </is>
      </c>
      <c r="B17" s="12">
        <f>Assumptions!$B$34</f>
        <v/>
      </c>
      <c r="C17" s="12">
        <f>B17*12</f>
        <v/>
      </c>
    </row>
    <row r="18">
      <c r="A18" s="4" t="inlineStr">
        <is>
          <t>Marketing</t>
        </is>
      </c>
      <c r="B18" s="12">
        <f>Assumptions!$B$35</f>
        <v/>
      </c>
      <c r="C18" s="12">
        <f>B18*12</f>
        <v/>
      </c>
    </row>
    <row r="19">
      <c r="A19" s="4" t="inlineStr">
        <is>
          <t>Accounting/admin/misc</t>
        </is>
      </c>
      <c r="B19" s="12">
        <f>Assumptions!$B$36</f>
        <v/>
      </c>
      <c r="C19" s="12">
        <f>B19*12</f>
        <v/>
      </c>
    </row>
    <row r="20">
      <c r="A20" s="10" t="inlineStr">
        <is>
          <t>TOTAL OPERATING COSTS</t>
        </is>
      </c>
      <c r="B20" s="11">
        <f>SUM(B6:B19)</f>
        <v/>
      </c>
      <c r="C20" s="11">
        <f>SUM(C6:C19)</f>
        <v/>
      </c>
    </row>
    <row r="21">
      <c r="A21" s="10" t="inlineStr">
        <is>
          <t>OWNER CASH FLOW before tax</t>
        </is>
      </c>
      <c r="B21" s="11">
        <f>B5-B20</f>
        <v/>
      </c>
      <c r="C21" s="11">
        <f>C5-C20</f>
        <v/>
      </c>
    </row>
    <row r="22">
      <c r="A22" s="13" t="inlineStr">
        <is>
          <t>Operating margin %</t>
        </is>
      </c>
      <c r="B22" s="14">
        <f>B21/B5</f>
        <v/>
      </c>
      <c r="C22" s="14">
        <f>C21/C5</f>
        <v/>
      </c>
    </row>
    <row r="24" ht="28" customHeight="1">
      <c r="A24" s="15" t="inlineStr">
        <is>
          <t>Note: At maturity. This is owner pre-tax cash flow with a manager running day-to-day; Luke can take salary and/or distributions from it.</t>
        </is>
      </c>
    </row>
  </sheetData>
  <mergeCells count="3">
    <mergeCell ref="A1:C1"/>
    <mergeCell ref="A24:C2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3" customWidth="1" min="3" max="3"/>
    <col width="46" customWidth="1" min="4" max="4"/>
    <col width="14" customWidth="1" min="5" max="5"/>
  </cols>
  <sheetData>
    <row r="1">
      <c r="A1" s="1" t="inlineStr">
        <is>
          <t>Caddy 19 — Startup Costs</t>
        </is>
      </c>
    </row>
    <row r="2">
      <c r="A2" s="2" t="inlineStr">
        <is>
          <t>One-time capital required to launch a single club vs. scale to ~5 rigs / 10 clubs.</t>
        </is>
      </c>
    </row>
    <row r="4" ht="20" customHeight="1">
      <c r="A4" s="3" t="inlineStr">
        <is>
          <t>SINGLE CLUB (leased vehicle)</t>
        </is>
      </c>
      <c r="D4" s="3" t="inlineStr">
        <is>
          <t>SCALE-UP (to ~5 rigs / 10 clubs)</t>
        </is>
      </c>
    </row>
    <row r="5" ht="20" customHeight="1">
      <c r="A5" s="9" t="inlineStr">
        <is>
          <t>Item</t>
        </is>
      </c>
      <c r="B5" s="9" t="inlineStr">
        <is>
          <t>Cost</t>
        </is>
      </c>
      <c r="D5" s="9" t="inlineStr">
        <is>
          <t>Item</t>
        </is>
      </c>
      <c r="E5" s="9" t="inlineStr">
        <is>
          <t>Cost</t>
        </is>
      </c>
    </row>
    <row r="6">
      <c r="A6" s="4" t="inlineStr">
        <is>
          <t>Detailing equipment (owned)</t>
        </is>
      </c>
      <c r="B6" s="16" t="n">
        <v>4000</v>
      </c>
      <c r="D6" s="4" t="inlineStr">
        <is>
          <t>Detailing equipment x 5 rigs</t>
        </is>
      </c>
      <c r="E6" s="16" t="n">
        <v>22500</v>
      </c>
    </row>
    <row r="7">
      <c r="A7" s="4" t="inlineStr">
        <is>
          <t>Water-reclamation + turf-safe gear</t>
        </is>
      </c>
      <c r="B7" s="16" t="n">
        <v>500</v>
      </c>
      <c r="D7" s="4" t="inlineStr">
        <is>
          <t>Vehicle lease drive-offs x 5</t>
        </is>
      </c>
      <c r="E7" s="16" t="n">
        <v>7500</v>
      </c>
    </row>
    <row r="8">
      <c r="A8" s="4" t="inlineStr">
        <is>
          <t>Vehicle lease drive-off (1st month + deposit)</t>
        </is>
      </c>
      <c r="B8" s="16" t="n">
        <v>1500</v>
      </c>
      <c r="D8" s="4" t="inlineStr">
        <is>
          <t>Vehicle wraps x 5 (optional, after first signed club each)</t>
        </is>
      </c>
      <c r="E8" s="16" t="n">
        <v>12500</v>
      </c>
    </row>
    <row r="9">
      <c r="A9" s="4" t="inlineStr">
        <is>
          <t>Vehicle magnets/light branding</t>
        </is>
      </c>
      <c r="B9" s="16" t="n">
        <v>300</v>
      </c>
      <c r="D9" s="4" t="inlineStr">
        <is>
          <t>Ramp working capital / manager runway</t>
        </is>
      </c>
      <c r="E9" s="16" t="n">
        <v>30000</v>
      </c>
    </row>
    <row r="10">
      <c r="A10" s="4" t="inlineStr">
        <is>
          <t>Insurance down payment</t>
        </is>
      </c>
      <c r="B10" s="16" t="n">
        <v>600</v>
      </c>
      <c r="D10" s="4" t="inlineStr">
        <is>
          <t>Scheduling tool / systems</t>
        </is>
      </c>
      <c r="E10" s="16" t="n">
        <v>5000</v>
      </c>
    </row>
    <row r="11">
      <c r="A11" s="4" t="inlineStr">
        <is>
          <t>Brand/print/uniforms</t>
        </is>
      </c>
      <c r="B11" s="16" t="n">
        <v>800</v>
      </c>
      <c r="D11" s="4" t="inlineStr">
        <is>
          <t>Contingency</t>
        </is>
      </c>
      <c r="E11" s="16" t="n">
        <v>9000</v>
      </c>
    </row>
    <row r="12">
      <c r="A12" s="4" t="inlineStr">
        <is>
          <t>Website/domain/software setup</t>
        </is>
      </c>
      <c r="B12" s="16" t="n">
        <v>200</v>
      </c>
    </row>
    <row r="13">
      <c r="A13" s="4" t="inlineStr">
        <is>
          <t>Licenses/permits (TX sales-tax permit, city)</t>
        </is>
      </c>
      <c r="B13" s="16" t="n">
        <v>150</v>
      </c>
    </row>
    <row r="14">
      <c r="A14" s="4" t="inlineStr">
        <is>
          <t>Initial supplies stock</t>
        </is>
      </c>
      <c r="B14" s="16" t="n">
        <v>600</v>
      </c>
    </row>
    <row r="15">
      <c r="A15" s="4" t="inlineStr">
        <is>
          <t>Working capital buffer (~2 months)</t>
        </is>
      </c>
      <c r="B15" s="16" t="n">
        <v>4000</v>
      </c>
    </row>
    <row r="16">
      <c r="A16" s="4" t="inlineStr">
        <is>
          <t>Contingency (~10%)</t>
        </is>
      </c>
      <c r="B16" s="16" t="n">
        <v>1300</v>
      </c>
    </row>
    <row r="17">
      <c r="A17" s="10" t="inlineStr">
        <is>
          <t>TOTAL</t>
        </is>
      </c>
      <c r="B17" s="11">
        <f>SUM(B6:B16)</f>
        <v/>
      </c>
      <c r="D17" s="10" t="inlineStr">
        <is>
          <t>TOTAL</t>
        </is>
      </c>
      <c r="E17" s="11">
        <f>SUM(E6:E11)</f>
        <v/>
      </c>
    </row>
    <row r="19" ht="28" customHeight="1">
      <c r="A19" s="15" t="inlineStr">
        <is>
          <t>Note: Scale-up capital is best funded organically — each signed club's cash flow funds the next crew — rather than raised upfront.</t>
        </is>
      </c>
    </row>
  </sheetData>
  <mergeCells count="5">
    <mergeCell ref="A4:B4"/>
    <mergeCell ref="A2:E2"/>
    <mergeCell ref="A19:E19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2026-09-19T19:00:05Z</dcterms:created>
  <dcterms:modified xsi:type="dcterms:W3CDTF">2026-09-19T19:00:05Z</dcterms:modified>
</cp:coreProperties>
</file>
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rivers" sheetId="1" state="visible" r:id="rId3"/>
    <sheet name="Platform P&amp;L" sheetId="2" state="visible" r:id="rId4"/>
    <sheet name="Operator vs Platform" sheetId="3" state="visible" r:id="rId5"/>
    <sheet name="Sensitivity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<sst xmlns="http://schemas.openxmlformats.org/spreadsheetml/2006/main" count="93" uniqueCount="86">
  <si>
    <t xml:space="preserve">Drivers - Platform vs. Operator Model</t>
  </si>
  <si>
    <t xml:space="preserve">Yellow cells are inputs (blue text). All other tabs calculate from these.</t>
  </si>
  <si>
    <t xml:space="preserve">PLATFORM DRIVERS</t>
  </si>
  <si>
    <t xml:space="preserve">Value</t>
  </si>
  <si>
    <t xml:space="preserve">Note</t>
  </si>
  <si>
    <t xml:space="preserve">Number of venues</t>
  </si>
  <si>
    <t xml:space="preserve">Avg members/users per venue</t>
  </si>
  <si>
    <t xml:space="preserve">Monthly booking rate (% of users booking/month)</t>
  </si>
  <si>
    <t xml:space="preserve">Avg job value ($)</t>
  </si>
  <si>
    <t xml:space="preserve">Platform take-rate (% of job value)</t>
  </si>
  <si>
    <t xml:space="preserve">Payment processing (% of GMV, platform's cost)</t>
  </si>
  <si>
    <t xml:space="preserve">Venue amenity/SaaS fee ($/month per venue)</t>
  </si>
  <si>
    <t xml:space="preserve">Providers on platform</t>
  </si>
  <si>
    <t xml:space="preserve">Provider subscription ($/month)</t>
  </si>
  <si>
    <t xml:space="preserve">PLATFORM COST DRIVERS</t>
  </si>
  <si>
    <t xml:space="preserve">Software/hosting/app dev &amp; maintenance ($/mo)</t>
  </si>
  <si>
    <t xml:space="preserve">Ops/account staff: cost per staffer ($/mo)</t>
  </si>
  <si>
    <t xml:space="preserve">Venues covered per ops staffer</t>
  </si>
  <si>
    <t xml:space="preserve">Insurance / E&amp;O ($/mo)</t>
  </si>
  <si>
    <t xml:space="preserve">Venue acquisition / BD ($/mo)</t>
  </si>
  <si>
    <t xml:space="preserve">Marketing ($/mo)</t>
  </si>
  <si>
    <t xml:space="preserve">G&amp;A / misc ($/mo)</t>
  </si>
  <si>
    <t xml:space="preserve">OPERATOR DRIVERS</t>
  </si>
  <si>
    <t xml:space="preserve">Cash flow per crew ($/mo)</t>
  </si>
  <si>
    <t xml:space="preserve">From the one-crew model</t>
  </si>
  <si>
    <t xml:space="preserve">Clubs served per crew</t>
  </si>
  <si>
    <t xml:space="preserve">Manager salary loaded ($/mo, kicks in above 3 crews)</t>
  </si>
  <si>
    <t xml:space="preserve">Number of crews (operator scenario)</t>
  </si>
  <si>
    <t xml:space="preserve">COMPUTED</t>
  </si>
  <si>
    <t xml:space="preserve">Total users</t>
  </si>
  <si>
    <t xml:space="preserve">Monthly bookings</t>
  </si>
  <si>
    <t xml:space="preserve">GMV / month</t>
  </si>
  <si>
    <t xml:space="preserve">Ops staff needed</t>
  </si>
  <si>
    <t xml:space="preserve">Platform P&amp;L (Monthly and Annual)</t>
  </si>
  <si>
    <t xml:space="preserve">Line item</t>
  </si>
  <si>
    <t xml:space="preserve">Monthly</t>
  </si>
  <si>
    <t xml:space="preserve">Annual</t>
  </si>
  <si>
    <t xml:space="preserve">Revenue</t>
  </si>
  <si>
    <t xml:space="preserve">Transaction revenue (GMV x take-rate)</t>
  </si>
  <si>
    <t xml:space="preserve">Venue fees</t>
  </si>
  <si>
    <t xml:space="preserve">Provider subscriptions</t>
  </si>
  <si>
    <t xml:space="preserve">TOTAL REVENUE</t>
  </si>
  <si>
    <t xml:space="preserve">Costs</t>
  </si>
  <si>
    <t xml:space="preserve">Payment processing (GMV x %)</t>
  </si>
  <si>
    <t xml:space="preserve">Software/hosting</t>
  </si>
  <si>
    <t xml:space="preserve">Ops/account staff</t>
  </si>
  <si>
    <t xml:space="preserve">Insurance/E&amp;O</t>
  </si>
  <si>
    <t xml:space="preserve">Venue acquisition/BD</t>
  </si>
  <si>
    <t xml:space="preserve">Marketing</t>
  </si>
  <si>
    <t xml:space="preserve">G&amp;A/misc</t>
  </si>
  <si>
    <t xml:space="preserve">TOTAL COSTS</t>
  </si>
  <si>
    <t xml:space="preserve">PLATFORM PROFIT (pre-tax)</t>
  </si>
  <si>
    <t xml:space="preserve">Platform margin %</t>
  </si>
  <si>
    <t xml:space="preserve">Memo</t>
  </si>
  <si>
    <t xml:space="preserve">GMV</t>
  </si>
  <si>
    <t xml:space="preserve">Platform revenue as % of GMV (the real take)</t>
  </si>
  <si>
    <t xml:space="preserve">Note: Platforms are THIN until scale - at 50 venues this barely clears breakeven; profit scales with venue count. Watch how few crews it takes to match this on the Comparison tab.</t>
  </si>
  <si>
    <t xml:space="preserve">Operator vs. Platform</t>
  </si>
  <si>
    <t xml:space="preserve">Operator scenario (monthly)</t>
  </si>
  <si>
    <t xml:space="preserve">Crews</t>
  </si>
  <si>
    <t xml:space="preserve">Operator gross cash flow</t>
  </si>
  <si>
    <t xml:space="preserve">Manager salary (one manager above 3 crews)</t>
  </si>
  <si>
    <t xml:space="preserve">Simplification: one manager only; larger scale would need more.</t>
  </si>
  <si>
    <t xml:space="preserve">OPERATOR PROFIT / mo</t>
  </si>
  <si>
    <t xml:space="preserve">Clubs engaged (operator)</t>
  </si>
  <si>
    <t xml:space="preserve">Metric</t>
  </si>
  <si>
    <t xml:space="preserve">Operator</t>
  </si>
  <si>
    <t xml:space="preserve">Platform</t>
  </si>
  <si>
    <t xml:space="preserve">Venues/clubs engaged</t>
  </si>
  <si>
    <t xml:space="preserve">Monthly profit</t>
  </si>
  <si>
    <t xml:space="preserve">Annual profit</t>
  </si>
  <si>
    <t xml:space="preserve">Headcount feel</t>
  </si>
  <si>
    <t xml:space="preserve">CROSSOVER</t>
  </si>
  <si>
    <t xml:space="preserve">Operator profit/mo at current crews</t>
  </si>
  <si>
    <t xml:space="preserve">Platform profit/mo at current venues</t>
  </si>
  <si>
    <t xml:space="preserve">Operator advantage (operator - platform)</t>
  </si>
  <si>
    <t xml:space="preserve">Result</t>
  </si>
  <si>
    <t xml:space="preserve">Note: At small scale, OPERATING crews earns far more per unit than platforming them - the platform only wins at large venue counts (often 100+). Operator = certain but labor-capped; platform = scalable but thin and capital/time-intensive to reach density.</t>
  </si>
  <si>
    <t xml:space="preserve">Sensitivity - Platform Monthly Profit</t>
  </si>
  <si>
    <t xml:space="preserve">Live formulas; all other inputs held at Drivers values.</t>
  </si>
  <si>
    <t xml:space="preserve">GRID A - Platform monthly profit: Number of venues (rows) x Take-rate (cols)</t>
  </si>
  <si>
    <t xml:space="preserve">Venues \ Take-rate</t>
  </si>
  <si>
    <t xml:space="preserve">GRID B - Platform monthly profit: Number of venues (rows) x Monthly booking rate (cols)</t>
  </si>
  <si>
    <t xml:space="preserve">Venues \ Booking rate</t>
  </si>
  <si>
    <t xml:space="preserve">Operator profit for comparison (crews per Drivers):</t>
  </si>
  <si>
    <t xml:space="preserve">Compare grid cells to this figure to see which venue counts beat the operator.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</si>
</sst>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"/>
    <numFmt numFmtId="166" formatCode="0.0%"/>
    <numFmt numFmtId="167" formatCode="\$#,##0;&quot;($&quot;#,##0\);\-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8000"/>
      <name val="Arial"/>
      <family val="0"/>
      <charset val="1"/>
    </font>
    <font>
      <i val="true"/>
      <sz val="10"/>
      <name val="Arial"/>
      <family val="0"/>
      <charset val="1"/>
    </font>
    <font>
      <b val="true"/>
      <sz val="10"/>
      <color rgb="FF0000FF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D9E1F2"/>
        <bgColor rgb="FFCCFFFF"/>
      </patternFill>
    </fill>
    <fill>
      <patternFill patternType="solid">
        <fgColor rgb="FFFFFFCC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1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14"/>
    <col collapsed="false" customWidth="true" hidden="false" outlineLevel="0" max="3" min="3" style="0" width="3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 t="s">
        <v>2</v>
      </c>
      <c r="B3" s="3" t="s">
        <v>3</v>
      </c>
      <c r="C3" s="3" t="s">
        <v>4</v>
      </c>
    </row>
    <row r="4" customFormat="false" ht="15" hidden="false" customHeight="false" outlineLevel="0" collapsed="false">
      <c r="A4" s="4" t="s">
        <v>5</v>
      </c>
      <c r="B4" s="5" t="n">
        <v>50</v>
      </c>
      <c r="C4" s="2"/>
    </row>
    <row r="5" customFormat="false" ht="15" hidden="false" customHeight="false" outlineLevel="0" collapsed="false">
      <c r="A5" s="4" t="s">
        <v>6</v>
      </c>
      <c r="B5" s="5" t="n">
        <v>300</v>
      </c>
      <c r="C5" s="2"/>
    </row>
    <row r="6" customFormat="false" ht="15" hidden="false" customHeight="false" outlineLevel="0" collapsed="false">
      <c r="A6" s="4" t="s">
        <v>7</v>
      </c>
      <c r="B6" s="6" t="n">
        <v>0.1</v>
      </c>
      <c r="C6" s="2"/>
    </row>
    <row r="7" customFormat="false" ht="15" hidden="false" customHeight="false" outlineLevel="0" collapsed="false">
      <c r="A7" s="4" t="s">
        <v>8</v>
      </c>
      <c r="B7" s="7" t="n">
        <v>130</v>
      </c>
      <c r="C7" s="2"/>
    </row>
    <row r="8" customFormat="false" ht="15" hidden="false" customHeight="false" outlineLevel="0" collapsed="false">
      <c r="A8" s="4" t="s">
        <v>9</v>
      </c>
      <c r="B8" s="6" t="n">
        <v>0.15</v>
      </c>
      <c r="C8" s="2"/>
    </row>
    <row r="9" customFormat="false" ht="15" hidden="false" customHeight="false" outlineLevel="0" collapsed="false">
      <c r="A9" s="4" t="s">
        <v>10</v>
      </c>
      <c r="B9" s="6" t="n">
        <v>0.029</v>
      </c>
      <c r="C9" s="2"/>
    </row>
    <row r="10" customFormat="false" ht="15" hidden="false" customHeight="false" outlineLevel="0" collapsed="false">
      <c r="A10" s="4" t="s">
        <v>11</v>
      </c>
      <c r="B10" s="7" t="n">
        <v>250</v>
      </c>
      <c r="C10" s="2"/>
    </row>
    <row r="11" customFormat="false" ht="15" hidden="false" customHeight="false" outlineLevel="0" collapsed="false">
      <c r="A11" s="4" t="s">
        <v>12</v>
      </c>
      <c r="B11" s="5" t="n">
        <v>60</v>
      </c>
      <c r="C11" s="2"/>
    </row>
    <row r="12" customFormat="false" ht="15" hidden="false" customHeight="false" outlineLevel="0" collapsed="false">
      <c r="A12" s="4" t="s">
        <v>13</v>
      </c>
      <c r="B12" s="7" t="n">
        <v>50</v>
      </c>
      <c r="C12" s="2"/>
    </row>
    <row r="14" customFormat="false" ht="15" hidden="false" customHeight="false" outlineLevel="0" collapsed="false">
      <c r="A14" s="3" t="s">
        <v>14</v>
      </c>
      <c r="B14" s="3" t="s">
        <v>3</v>
      </c>
      <c r="C14" s="3" t="s">
        <v>4</v>
      </c>
    </row>
    <row r="15" customFormat="false" ht="15" hidden="false" customHeight="false" outlineLevel="0" collapsed="false">
      <c r="A15" s="4" t="s">
        <v>15</v>
      </c>
      <c r="B15" s="7" t="n">
        <v>6000</v>
      </c>
      <c r="C15" s="2"/>
    </row>
    <row r="16" customFormat="false" ht="15" hidden="false" customHeight="false" outlineLevel="0" collapsed="false">
      <c r="A16" s="4" t="s">
        <v>16</v>
      </c>
      <c r="B16" s="7" t="n">
        <v>6000</v>
      </c>
      <c r="C16" s="2"/>
    </row>
    <row r="17" customFormat="false" ht="15" hidden="false" customHeight="false" outlineLevel="0" collapsed="false">
      <c r="A17" s="4" t="s">
        <v>17</v>
      </c>
      <c r="B17" s="5" t="n">
        <v>20</v>
      </c>
      <c r="C17" s="2"/>
    </row>
    <row r="18" customFormat="false" ht="15" hidden="false" customHeight="false" outlineLevel="0" collapsed="false">
      <c r="A18" s="4" t="s">
        <v>18</v>
      </c>
      <c r="B18" s="7" t="n">
        <v>800</v>
      </c>
      <c r="C18" s="2"/>
    </row>
    <row r="19" customFormat="false" ht="15" hidden="false" customHeight="false" outlineLevel="0" collapsed="false">
      <c r="A19" s="4" t="s">
        <v>19</v>
      </c>
      <c r="B19" s="7" t="n">
        <v>8000</v>
      </c>
      <c r="C19" s="2"/>
    </row>
    <row r="20" customFormat="false" ht="15" hidden="false" customHeight="false" outlineLevel="0" collapsed="false">
      <c r="A20" s="4" t="s">
        <v>20</v>
      </c>
      <c r="B20" s="7" t="n">
        <v>2000</v>
      </c>
      <c r="C20" s="2"/>
    </row>
    <row r="21" customFormat="false" ht="15" hidden="false" customHeight="false" outlineLevel="0" collapsed="false">
      <c r="A21" s="4" t="s">
        <v>21</v>
      </c>
      <c r="B21" s="7" t="n">
        <v>2000</v>
      </c>
      <c r="C21" s="2"/>
    </row>
    <row r="23" customFormat="false" ht="15" hidden="false" customHeight="false" outlineLevel="0" collapsed="false">
      <c r="A23" s="3" t="s">
        <v>22</v>
      </c>
      <c r="B23" s="3" t="s">
        <v>3</v>
      </c>
      <c r="C23" s="3" t="s">
        <v>4</v>
      </c>
    </row>
    <row r="24" customFormat="false" ht="15" hidden="false" customHeight="false" outlineLevel="0" collapsed="false">
      <c r="A24" s="4" t="s">
        <v>23</v>
      </c>
      <c r="B24" s="7" t="n">
        <v>5335</v>
      </c>
      <c r="C24" s="2" t="s">
        <v>24</v>
      </c>
    </row>
    <row r="25" customFormat="false" ht="15" hidden="false" customHeight="false" outlineLevel="0" collapsed="false">
      <c r="A25" s="4" t="s">
        <v>25</v>
      </c>
      <c r="B25" s="5" t="n">
        <v>3</v>
      </c>
      <c r="C25" s="2"/>
    </row>
    <row r="26" customFormat="false" ht="15" hidden="false" customHeight="false" outlineLevel="0" collapsed="false">
      <c r="A26" s="4" t="s">
        <v>26</v>
      </c>
      <c r="B26" s="7" t="n">
        <v>6650</v>
      </c>
      <c r="C26" s="2"/>
    </row>
    <row r="27" customFormat="false" ht="15" hidden="false" customHeight="false" outlineLevel="0" collapsed="false">
      <c r="A27" s="4" t="s">
        <v>27</v>
      </c>
      <c r="B27" s="5" t="n">
        <v>8</v>
      </c>
      <c r="C27" s="2"/>
    </row>
    <row r="29" customFormat="false" ht="15" hidden="false" customHeight="false" outlineLevel="0" collapsed="false">
      <c r="A29" s="3" t="s">
        <v>28</v>
      </c>
      <c r="B29" s="3" t="s">
        <v>3</v>
      </c>
      <c r="C29" s="3" t="s">
        <v>4</v>
      </c>
    </row>
    <row r="30" customFormat="false" ht="15" hidden="false" customHeight="false" outlineLevel="0" collapsed="false">
      <c r="A30" s="4" t="s">
        <v>29</v>
      </c>
      <c r="B30" s="8" t="n">
        <f aca="false">B4*B5</f>
        <v>15000</v>
      </c>
    </row>
    <row r="31" customFormat="false" ht="15" hidden="false" customHeight="false" outlineLevel="0" collapsed="false">
      <c r="A31" s="4" t="s">
        <v>30</v>
      </c>
      <c r="B31" s="8" t="n">
        <f aca="false">B30*B6</f>
        <v>1500</v>
      </c>
    </row>
    <row r="32" customFormat="false" ht="15" hidden="false" customHeight="false" outlineLevel="0" collapsed="false">
      <c r="A32" s="4" t="s">
        <v>31</v>
      </c>
      <c r="B32" s="9" t="n">
        <f aca="false">B31*B7</f>
        <v>195000</v>
      </c>
    </row>
    <row r="33" customFormat="false" ht="15" hidden="false" customHeight="false" outlineLevel="0" collapsed="false">
      <c r="A33" s="4" t="s">
        <v>32</v>
      </c>
      <c r="B33" s="8" t="n">
        <f aca="false">ROUNDUP(B4/B17,0)</f>
        <v>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8"/>
    <col collapsed="false" customWidth="true" hidden="false" outlineLevel="0" max="3" min="2" style="0" width="14"/>
  </cols>
  <sheetData>
    <row r="1" customFormat="false" ht="17.35" hidden="false" customHeight="false" outlineLevel="0" collapsed="false">
      <c r="A1" s="1" t="s">
        <v>33</v>
      </c>
    </row>
    <row r="3" customFormat="false" ht="15" hidden="false" customHeight="false" outlineLevel="0" collapsed="false">
      <c r="A3" s="3" t="s">
        <v>34</v>
      </c>
      <c r="B3" s="3" t="s">
        <v>35</v>
      </c>
      <c r="C3" s="3" t="s">
        <v>36</v>
      </c>
    </row>
    <row r="4" customFormat="false" ht="15" hidden="false" customHeight="false" outlineLevel="0" collapsed="false">
      <c r="A4" s="10" t="s">
        <v>37</v>
      </c>
    </row>
    <row r="5" customFormat="false" ht="15" hidden="false" customHeight="false" outlineLevel="0" collapsed="false">
      <c r="A5" s="4" t="s">
        <v>38</v>
      </c>
      <c r="B5" s="11" t="n">
        <f aca="false">Drivers!B32*Drivers!B8</f>
        <v>29250</v>
      </c>
      <c r="C5" s="9" t="n">
        <f aca="false">B5*12</f>
        <v>351000</v>
      </c>
    </row>
    <row r="6" customFormat="false" ht="15" hidden="false" customHeight="false" outlineLevel="0" collapsed="false">
      <c r="A6" s="4" t="s">
        <v>39</v>
      </c>
      <c r="B6" s="11" t="n">
        <f aca="false">Drivers!B4*Drivers!B10</f>
        <v>12500</v>
      </c>
      <c r="C6" s="9" t="n">
        <f aca="false">B6*12</f>
        <v>150000</v>
      </c>
    </row>
    <row r="7" customFormat="false" ht="15" hidden="false" customHeight="false" outlineLevel="0" collapsed="false">
      <c r="A7" s="4" t="s">
        <v>40</v>
      </c>
      <c r="B7" s="11" t="n">
        <f aca="false">Drivers!B11*Drivers!B12</f>
        <v>3000</v>
      </c>
      <c r="C7" s="9" t="n">
        <f aca="false">B7*12</f>
        <v>36000</v>
      </c>
    </row>
    <row r="8" customFormat="false" ht="15" hidden="false" customHeight="false" outlineLevel="0" collapsed="false">
      <c r="A8" s="10" t="s">
        <v>41</v>
      </c>
      <c r="B8" s="12" t="n">
        <f aca="false">SUM(B5:B7)</f>
        <v>44750</v>
      </c>
      <c r="C8" s="12" t="n">
        <f aca="false">B8*12</f>
        <v>537000</v>
      </c>
    </row>
    <row r="9" customFormat="false" ht="15" hidden="false" customHeight="false" outlineLevel="0" collapsed="false">
      <c r="A9" s="10" t="s">
        <v>42</v>
      </c>
    </row>
    <row r="10" customFormat="false" ht="15" hidden="false" customHeight="false" outlineLevel="0" collapsed="false">
      <c r="A10" s="4" t="s">
        <v>43</v>
      </c>
      <c r="B10" s="11" t="n">
        <f aca="false">Drivers!B32*Drivers!B9</f>
        <v>5655</v>
      </c>
      <c r="C10" s="9" t="n">
        <f aca="false">B10*12</f>
        <v>67860</v>
      </c>
    </row>
    <row r="11" customFormat="false" ht="15" hidden="false" customHeight="false" outlineLevel="0" collapsed="false">
      <c r="A11" s="4" t="s">
        <v>44</v>
      </c>
      <c r="B11" s="11" t="n">
        <f aca="false">Drivers!B15</f>
        <v>6000</v>
      </c>
      <c r="C11" s="9" t="n">
        <f aca="false">B11*12</f>
        <v>72000</v>
      </c>
    </row>
    <row r="12" customFormat="false" ht="15" hidden="false" customHeight="false" outlineLevel="0" collapsed="false">
      <c r="A12" s="4" t="s">
        <v>45</v>
      </c>
      <c r="B12" s="11" t="n">
        <f aca="false">Drivers!B33*Drivers!B16</f>
        <v>18000</v>
      </c>
      <c r="C12" s="9" t="n">
        <f aca="false">B12*12</f>
        <v>216000</v>
      </c>
    </row>
    <row r="13" customFormat="false" ht="15" hidden="false" customHeight="false" outlineLevel="0" collapsed="false">
      <c r="A13" s="4" t="s">
        <v>46</v>
      </c>
      <c r="B13" s="11" t="n">
        <f aca="false">Drivers!B18</f>
        <v>800</v>
      </c>
      <c r="C13" s="9" t="n">
        <f aca="false">B13*12</f>
        <v>9600</v>
      </c>
    </row>
    <row r="14" customFormat="false" ht="15" hidden="false" customHeight="false" outlineLevel="0" collapsed="false">
      <c r="A14" s="4" t="s">
        <v>47</v>
      </c>
      <c r="B14" s="11" t="n">
        <f aca="false">Drivers!B19</f>
        <v>8000</v>
      </c>
      <c r="C14" s="9" t="n">
        <f aca="false">B14*12</f>
        <v>96000</v>
      </c>
    </row>
    <row r="15" customFormat="false" ht="15" hidden="false" customHeight="false" outlineLevel="0" collapsed="false">
      <c r="A15" s="4" t="s">
        <v>48</v>
      </c>
      <c r="B15" s="11" t="n">
        <f aca="false">Drivers!B20</f>
        <v>2000</v>
      </c>
      <c r="C15" s="9" t="n">
        <f aca="false">B15*12</f>
        <v>24000</v>
      </c>
    </row>
    <row r="16" customFormat="false" ht="15" hidden="false" customHeight="false" outlineLevel="0" collapsed="false">
      <c r="A16" s="4" t="s">
        <v>49</v>
      </c>
      <c r="B16" s="11" t="n">
        <f aca="false">Drivers!B21</f>
        <v>2000</v>
      </c>
      <c r="C16" s="9" t="n">
        <f aca="false">B16*12</f>
        <v>24000</v>
      </c>
    </row>
    <row r="17" customFormat="false" ht="15" hidden="false" customHeight="false" outlineLevel="0" collapsed="false">
      <c r="A17" s="10" t="s">
        <v>50</v>
      </c>
      <c r="B17" s="12" t="n">
        <f aca="false">SUM(B10:B16)</f>
        <v>42455</v>
      </c>
      <c r="C17" s="12" t="n">
        <f aca="false">B17*12</f>
        <v>509460</v>
      </c>
    </row>
    <row r="18" customFormat="false" ht="15" hidden="false" customHeight="false" outlineLevel="0" collapsed="false">
      <c r="A18" s="10" t="s">
        <v>51</v>
      </c>
      <c r="B18" s="12" t="n">
        <f aca="false">B8-B17</f>
        <v>2295</v>
      </c>
      <c r="C18" s="12" t="n">
        <f aca="false">B18*12</f>
        <v>27540</v>
      </c>
    </row>
    <row r="19" customFormat="false" ht="15" hidden="false" customHeight="false" outlineLevel="0" collapsed="false">
      <c r="A19" s="10" t="s">
        <v>52</v>
      </c>
      <c r="B19" s="13" t="n">
        <f aca="false">IF(B8=0,0,B18/B8)</f>
        <v>0.0512849162011173</v>
      </c>
      <c r="C19" s="13" t="n">
        <f aca="false">IF(C8=0,0,C18/C8)</f>
        <v>0.0512849162011173</v>
      </c>
    </row>
    <row r="21" customFormat="false" ht="15" hidden="false" customHeight="false" outlineLevel="0" collapsed="false">
      <c r="A21" s="10" t="s">
        <v>53</v>
      </c>
    </row>
    <row r="22" customFormat="false" ht="15" hidden="false" customHeight="false" outlineLevel="0" collapsed="false">
      <c r="A22" s="4" t="s">
        <v>54</v>
      </c>
      <c r="B22" s="11" t="n">
        <f aca="false">Drivers!B32</f>
        <v>195000</v>
      </c>
      <c r="C22" s="9" t="n">
        <f aca="false">B22*12</f>
        <v>2340000</v>
      </c>
    </row>
    <row r="23" customFormat="false" ht="15" hidden="false" customHeight="false" outlineLevel="0" collapsed="false">
      <c r="A23" s="4" t="s">
        <v>55</v>
      </c>
      <c r="B23" s="14" t="n">
        <f aca="false">IF(B22=0,0,B8/B22)</f>
        <v>0.229487179487179</v>
      </c>
      <c r="C23" s="14" t="n">
        <f aca="false">B23</f>
        <v>0.229487179487179</v>
      </c>
    </row>
    <row r="25" customFormat="false" ht="15" hidden="false" customHeight="false" outlineLevel="0" collapsed="false">
      <c r="A25" s="15" t="s">
        <v>56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8"/>
    <col collapsed="false" customWidth="true" hidden="false" outlineLevel="0" max="3" min="2" style="0" width="22"/>
  </cols>
  <sheetData>
    <row r="1" customFormat="false" ht="17.35" hidden="false" customHeight="false" outlineLevel="0" collapsed="false">
      <c r="A1" s="1" t="s">
        <v>57</v>
      </c>
    </row>
    <row r="3" customFormat="false" ht="15" hidden="false" customHeight="false" outlineLevel="0" collapsed="false">
      <c r="A3" s="3" t="s">
        <v>58</v>
      </c>
      <c r="B3" s="3" t="s">
        <v>3</v>
      </c>
    </row>
    <row r="4" customFormat="false" ht="15" hidden="false" customHeight="false" outlineLevel="0" collapsed="false">
      <c r="A4" s="4" t="s">
        <v>59</v>
      </c>
      <c r="B4" s="16" t="n">
        <f aca="false">Drivers!B27</f>
        <v>8</v>
      </c>
    </row>
    <row r="5" customFormat="false" ht="15" hidden="false" customHeight="false" outlineLevel="0" collapsed="false">
      <c r="A5" s="4" t="s">
        <v>60</v>
      </c>
      <c r="B5" s="9" t="n">
        <f aca="false">B4*Drivers!B24</f>
        <v>42680</v>
      </c>
    </row>
    <row r="6" customFormat="false" ht="15" hidden="false" customHeight="false" outlineLevel="0" collapsed="false">
      <c r="A6" s="4" t="s">
        <v>61</v>
      </c>
      <c r="B6" s="9" t="n">
        <f aca="false">IF(B4&gt;3,Drivers!B26,0)</f>
        <v>6650</v>
      </c>
      <c r="C6" s="2" t="s">
        <v>62</v>
      </c>
    </row>
    <row r="7" customFormat="false" ht="15" hidden="false" customHeight="false" outlineLevel="0" collapsed="false">
      <c r="A7" s="10" t="s">
        <v>63</v>
      </c>
      <c r="B7" s="12" t="n">
        <f aca="false">B5-B6</f>
        <v>36030</v>
      </c>
    </row>
    <row r="8" customFormat="false" ht="15" hidden="false" customHeight="false" outlineLevel="0" collapsed="false">
      <c r="A8" s="4" t="s">
        <v>64</v>
      </c>
      <c r="B8" s="8" t="n">
        <f aca="false">B4*Drivers!B25</f>
        <v>24</v>
      </c>
    </row>
    <row r="10" customFormat="false" ht="15" hidden="false" customHeight="false" outlineLevel="0" collapsed="false">
      <c r="A10" s="3" t="s">
        <v>65</v>
      </c>
      <c r="B10" s="3" t="s">
        <v>66</v>
      </c>
      <c r="C10" s="3" t="s">
        <v>67</v>
      </c>
    </row>
    <row r="11" customFormat="false" ht="15" hidden="false" customHeight="false" outlineLevel="0" collapsed="false">
      <c r="A11" s="4" t="s">
        <v>68</v>
      </c>
      <c r="B11" s="8" t="n">
        <f aca="false">B8</f>
        <v>24</v>
      </c>
      <c r="C11" s="8" t="n">
        <f aca="false">Drivers!B4</f>
        <v>50</v>
      </c>
    </row>
    <row r="12" customFormat="false" ht="15" hidden="false" customHeight="false" outlineLevel="0" collapsed="false">
      <c r="A12" s="4" t="s">
        <v>69</v>
      </c>
      <c r="B12" s="9" t="n">
        <f aca="false">B7</f>
        <v>36030</v>
      </c>
      <c r="C12" s="11" t="n">
        <f aca="false">'Platform P&amp;L'!B18</f>
        <v>2295</v>
      </c>
    </row>
    <row r="13" customFormat="false" ht="15" hidden="false" customHeight="false" outlineLevel="0" collapsed="false">
      <c r="A13" s="4" t="s">
        <v>70</v>
      </c>
      <c r="B13" s="9" t="n">
        <f aca="false">B12*12</f>
        <v>432360</v>
      </c>
      <c r="C13" s="9" t="n">
        <f aca="false">C12*12</f>
        <v>27540</v>
      </c>
    </row>
    <row r="14" customFormat="false" ht="15" hidden="false" customHeight="false" outlineLevel="0" collapsed="false">
      <c r="A14" s="4" t="s">
        <v>71</v>
      </c>
      <c r="B14" s="4" t="str">
        <f aca="false">B4*2&amp;" techs"&amp;IF(B4&gt;3," + 1 manager","")</f>
        <v>16 techs + 1 manager</v>
      </c>
      <c r="C14" s="4" t="str">
        <f aca="false">Drivers!B33&amp;" ops staff + BD"</f>
        <v>3 ops staff + BD</v>
      </c>
    </row>
    <row r="16" customFormat="false" ht="15" hidden="false" customHeight="false" outlineLevel="0" collapsed="false">
      <c r="A16" s="10" t="s">
        <v>72</v>
      </c>
    </row>
    <row r="17" customFormat="false" ht="15" hidden="false" customHeight="false" outlineLevel="0" collapsed="false">
      <c r="A17" s="4" t="s">
        <v>73</v>
      </c>
      <c r="B17" s="9" t="n">
        <f aca="false">B7</f>
        <v>36030</v>
      </c>
    </row>
    <row r="18" customFormat="false" ht="15" hidden="false" customHeight="false" outlineLevel="0" collapsed="false">
      <c r="A18" s="4" t="s">
        <v>74</v>
      </c>
      <c r="B18" s="9" t="n">
        <f aca="false">C12</f>
        <v>2295</v>
      </c>
    </row>
    <row r="19" customFormat="false" ht="15" hidden="false" customHeight="false" outlineLevel="0" collapsed="false">
      <c r="A19" s="4" t="s">
        <v>75</v>
      </c>
      <c r="B19" s="9" t="n">
        <f aca="false">B17-B18</f>
        <v>33735</v>
      </c>
    </row>
    <row r="20" customFormat="false" ht="15" hidden="false" customHeight="false" outlineLevel="0" collapsed="false">
      <c r="A20" s="10" t="s">
        <v>76</v>
      </c>
      <c r="B20" s="10" t="str">
        <f aca="false">IF(B17&gt;B18,"OPERATOR wins at this setting: "&amp;TEXT(B17,"$#,##0")&amp;"/mo with "&amp;B4&amp;" crews vs. platform "&amp;TEXT(B18,"$#,##0")&amp;"/mo with "&amp;Drivers!B4&amp;" venues.","PLATFORM wins at this setting: "&amp;TEXT(B18,"$#,##0")&amp;"/mo with "&amp;Drivers!B4&amp;" venues vs. operator "&amp;TEXT(B17,"$#,##0")&amp;"/mo with "&amp;B4&amp;" crews.")</f>
        <v>OPERATOR wins at this setting: $36,030/mo with 8 crews vs. platform $2,295/mo with 50 venues.</v>
      </c>
    </row>
    <row r="22" customFormat="false" ht="15" hidden="false" customHeight="false" outlineLevel="0" collapsed="false">
      <c r="A22" s="15" t="s">
        <v>77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6" min="2" style="0" width="14"/>
  </cols>
  <sheetData>
    <row r="1" customFormat="false" ht="17.35" hidden="false" customHeight="false" outlineLevel="0" collapsed="false">
      <c r="A1" s="1" t="s">
        <v>78</v>
      </c>
    </row>
    <row r="2" customFormat="false" ht="15" hidden="false" customHeight="false" outlineLevel="0" collapsed="false">
      <c r="A2" s="2" t="s">
        <v>79</v>
      </c>
    </row>
    <row r="4" customFormat="false" ht="15" hidden="false" customHeight="false" outlineLevel="0" collapsed="false">
      <c r="A4" s="10" t="s">
        <v>80</v>
      </c>
    </row>
    <row r="5" customFormat="false" ht="15" hidden="false" customHeight="false" outlineLevel="0" collapsed="false">
      <c r="A5" s="3" t="s">
        <v>81</v>
      </c>
      <c r="B5" s="17" t="n">
        <v>0.1</v>
      </c>
      <c r="C5" s="17" t="n">
        <v>0.125</v>
      </c>
      <c r="D5" s="17" t="n">
        <v>0.15</v>
      </c>
      <c r="E5" s="17" t="n">
        <v>0.2</v>
      </c>
      <c r="F5" s="17" t="n">
        <v>0.25</v>
      </c>
    </row>
    <row r="6" customFormat="false" ht="15" hidden="false" customHeight="false" outlineLevel="0" collapsed="false">
      <c r="A6" s="18" t="n">
        <v>25</v>
      </c>
      <c r="B6" s="9" t="n">
        <f aca="false">($A6*Drivers!$B$5*Drivers!$B$6*Drivers!$B$7)*(B$5-Drivers!$B$9)+$A6*Drivers!$B$10+Drivers!$B$11*Drivers!$B$12-Drivers!$B$15-ROUNDUP($A6/Drivers!$B$17,0)*Drivers!$B$16-Drivers!$B$18-Drivers!$B$19-Drivers!$B$20-Drivers!$B$21</f>
        <v>-14627.5</v>
      </c>
      <c r="C6" s="9" t="n">
        <f aca="false">($A6*Drivers!$B$5*Drivers!$B$6*Drivers!$B$7)*(C$5-Drivers!$B$9)+$A6*Drivers!$B$10+Drivers!$B$11*Drivers!$B$12-Drivers!$B$15-ROUNDUP($A6/Drivers!$B$17,0)*Drivers!$B$16-Drivers!$B$18-Drivers!$B$19-Drivers!$B$20-Drivers!$B$21</f>
        <v>-12190</v>
      </c>
      <c r="D6" s="9" t="n">
        <f aca="false">($A6*Drivers!$B$5*Drivers!$B$6*Drivers!$B$7)*(D$5-Drivers!$B$9)+$A6*Drivers!$B$10+Drivers!$B$11*Drivers!$B$12-Drivers!$B$15-ROUNDUP($A6/Drivers!$B$17,0)*Drivers!$B$16-Drivers!$B$18-Drivers!$B$19-Drivers!$B$20-Drivers!$B$21</f>
        <v>-9752.5</v>
      </c>
      <c r="E6" s="9" t="n">
        <f aca="false">($A6*Drivers!$B$5*Drivers!$B$6*Drivers!$B$7)*(E$5-Drivers!$B$9)+$A6*Drivers!$B$10+Drivers!$B$11*Drivers!$B$12-Drivers!$B$15-ROUNDUP($A6/Drivers!$B$17,0)*Drivers!$B$16-Drivers!$B$18-Drivers!$B$19-Drivers!$B$20-Drivers!$B$21</f>
        <v>-4877.5</v>
      </c>
      <c r="F6" s="9" t="n">
        <f aca="false">($A6*Drivers!$B$5*Drivers!$B$6*Drivers!$B$7)*(F$5-Drivers!$B$9)+$A6*Drivers!$B$10+Drivers!$B$11*Drivers!$B$12-Drivers!$B$15-ROUNDUP($A6/Drivers!$B$17,0)*Drivers!$B$16-Drivers!$B$18-Drivers!$B$19-Drivers!$B$20-Drivers!$B$21</f>
        <v>-2.5</v>
      </c>
    </row>
    <row r="7" customFormat="false" ht="15" hidden="false" customHeight="false" outlineLevel="0" collapsed="false">
      <c r="A7" s="18" t="n">
        <v>50</v>
      </c>
      <c r="B7" s="9" t="n">
        <f aca="false">($A7*Drivers!$B$5*Drivers!$B$6*Drivers!$B$7)*(B$5-Drivers!$B$9)+$A7*Drivers!$B$10+Drivers!$B$11*Drivers!$B$12-Drivers!$B$15-ROUNDUP($A7/Drivers!$B$17,0)*Drivers!$B$16-Drivers!$B$18-Drivers!$B$19-Drivers!$B$20-Drivers!$B$21</f>
        <v>-7455</v>
      </c>
      <c r="C7" s="9" t="n">
        <f aca="false">($A7*Drivers!$B$5*Drivers!$B$6*Drivers!$B$7)*(C$5-Drivers!$B$9)+$A7*Drivers!$B$10+Drivers!$B$11*Drivers!$B$12-Drivers!$B$15-ROUNDUP($A7/Drivers!$B$17,0)*Drivers!$B$16-Drivers!$B$18-Drivers!$B$19-Drivers!$B$20-Drivers!$B$21</f>
        <v>-2580</v>
      </c>
      <c r="D7" s="9" t="n">
        <f aca="false">($A7*Drivers!$B$5*Drivers!$B$6*Drivers!$B$7)*(D$5-Drivers!$B$9)+$A7*Drivers!$B$10+Drivers!$B$11*Drivers!$B$12-Drivers!$B$15-ROUNDUP($A7/Drivers!$B$17,0)*Drivers!$B$16-Drivers!$B$18-Drivers!$B$19-Drivers!$B$20-Drivers!$B$21</f>
        <v>2295</v>
      </c>
      <c r="E7" s="9" t="n">
        <f aca="false">($A7*Drivers!$B$5*Drivers!$B$6*Drivers!$B$7)*(E$5-Drivers!$B$9)+$A7*Drivers!$B$10+Drivers!$B$11*Drivers!$B$12-Drivers!$B$15-ROUNDUP($A7/Drivers!$B$17,0)*Drivers!$B$16-Drivers!$B$18-Drivers!$B$19-Drivers!$B$20-Drivers!$B$21</f>
        <v>12045</v>
      </c>
      <c r="F7" s="9" t="n">
        <f aca="false">($A7*Drivers!$B$5*Drivers!$B$6*Drivers!$B$7)*(F$5-Drivers!$B$9)+$A7*Drivers!$B$10+Drivers!$B$11*Drivers!$B$12-Drivers!$B$15-ROUNDUP($A7/Drivers!$B$17,0)*Drivers!$B$16-Drivers!$B$18-Drivers!$B$19-Drivers!$B$20-Drivers!$B$21</f>
        <v>21795</v>
      </c>
    </row>
    <row r="8" customFormat="false" ht="15" hidden="false" customHeight="false" outlineLevel="0" collapsed="false">
      <c r="A8" s="18" t="n">
        <v>100</v>
      </c>
      <c r="B8" s="9" t="n">
        <f aca="false">($A8*Drivers!$B$5*Drivers!$B$6*Drivers!$B$7)*(B$5-Drivers!$B$9)+$A8*Drivers!$B$10+Drivers!$B$11*Drivers!$B$12-Drivers!$B$15-ROUNDUP($A8/Drivers!$B$17,0)*Drivers!$B$16-Drivers!$B$18-Drivers!$B$19-Drivers!$B$20-Drivers!$B$21</f>
        <v>6890</v>
      </c>
      <c r="C8" s="9" t="n">
        <f aca="false">($A8*Drivers!$B$5*Drivers!$B$6*Drivers!$B$7)*(C$5-Drivers!$B$9)+$A8*Drivers!$B$10+Drivers!$B$11*Drivers!$B$12-Drivers!$B$15-ROUNDUP($A8/Drivers!$B$17,0)*Drivers!$B$16-Drivers!$B$18-Drivers!$B$19-Drivers!$B$20-Drivers!$B$21</f>
        <v>16640</v>
      </c>
      <c r="D8" s="9" t="n">
        <f aca="false">($A8*Drivers!$B$5*Drivers!$B$6*Drivers!$B$7)*(D$5-Drivers!$B$9)+$A8*Drivers!$B$10+Drivers!$B$11*Drivers!$B$12-Drivers!$B$15-ROUNDUP($A8/Drivers!$B$17,0)*Drivers!$B$16-Drivers!$B$18-Drivers!$B$19-Drivers!$B$20-Drivers!$B$21</f>
        <v>26390</v>
      </c>
      <c r="E8" s="9" t="n">
        <f aca="false">($A8*Drivers!$B$5*Drivers!$B$6*Drivers!$B$7)*(E$5-Drivers!$B$9)+$A8*Drivers!$B$10+Drivers!$B$11*Drivers!$B$12-Drivers!$B$15-ROUNDUP($A8/Drivers!$B$17,0)*Drivers!$B$16-Drivers!$B$18-Drivers!$B$19-Drivers!$B$20-Drivers!$B$21</f>
        <v>45890</v>
      </c>
      <c r="F8" s="9" t="n">
        <f aca="false">($A8*Drivers!$B$5*Drivers!$B$6*Drivers!$B$7)*(F$5-Drivers!$B$9)+$A8*Drivers!$B$10+Drivers!$B$11*Drivers!$B$12-Drivers!$B$15-ROUNDUP($A8/Drivers!$B$17,0)*Drivers!$B$16-Drivers!$B$18-Drivers!$B$19-Drivers!$B$20-Drivers!$B$21</f>
        <v>65390</v>
      </c>
    </row>
    <row r="9" customFormat="false" ht="15" hidden="false" customHeight="false" outlineLevel="0" collapsed="false">
      <c r="A9" s="18" t="n">
        <v>150</v>
      </c>
      <c r="B9" s="9" t="n">
        <f aca="false">($A9*Drivers!$B$5*Drivers!$B$6*Drivers!$B$7)*(B$5-Drivers!$B$9)+$A9*Drivers!$B$10+Drivers!$B$11*Drivers!$B$12-Drivers!$B$15-ROUNDUP($A9/Drivers!$B$17,0)*Drivers!$B$16-Drivers!$B$18-Drivers!$B$19-Drivers!$B$20-Drivers!$B$21</f>
        <v>15235</v>
      </c>
      <c r="C9" s="9" t="n">
        <f aca="false">($A9*Drivers!$B$5*Drivers!$B$6*Drivers!$B$7)*(C$5-Drivers!$B$9)+$A9*Drivers!$B$10+Drivers!$B$11*Drivers!$B$12-Drivers!$B$15-ROUNDUP($A9/Drivers!$B$17,0)*Drivers!$B$16-Drivers!$B$18-Drivers!$B$19-Drivers!$B$20-Drivers!$B$21</f>
        <v>29860</v>
      </c>
      <c r="D9" s="9" t="n">
        <f aca="false">($A9*Drivers!$B$5*Drivers!$B$6*Drivers!$B$7)*(D$5-Drivers!$B$9)+$A9*Drivers!$B$10+Drivers!$B$11*Drivers!$B$12-Drivers!$B$15-ROUNDUP($A9/Drivers!$B$17,0)*Drivers!$B$16-Drivers!$B$18-Drivers!$B$19-Drivers!$B$20-Drivers!$B$21</f>
        <v>44485</v>
      </c>
      <c r="E9" s="9" t="n">
        <f aca="false">($A9*Drivers!$B$5*Drivers!$B$6*Drivers!$B$7)*(E$5-Drivers!$B$9)+$A9*Drivers!$B$10+Drivers!$B$11*Drivers!$B$12-Drivers!$B$15-ROUNDUP($A9/Drivers!$B$17,0)*Drivers!$B$16-Drivers!$B$18-Drivers!$B$19-Drivers!$B$20-Drivers!$B$21</f>
        <v>73735</v>
      </c>
      <c r="F9" s="9" t="n">
        <f aca="false">($A9*Drivers!$B$5*Drivers!$B$6*Drivers!$B$7)*(F$5-Drivers!$B$9)+$A9*Drivers!$B$10+Drivers!$B$11*Drivers!$B$12-Drivers!$B$15-ROUNDUP($A9/Drivers!$B$17,0)*Drivers!$B$16-Drivers!$B$18-Drivers!$B$19-Drivers!$B$20-Drivers!$B$21</f>
        <v>102985</v>
      </c>
    </row>
    <row r="10" customFormat="false" ht="15" hidden="false" customHeight="false" outlineLevel="0" collapsed="false">
      <c r="A10" s="18" t="n">
        <v>250</v>
      </c>
      <c r="B10" s="9" t="n">
        <f aca="false">($A10*Drivers!$B$5*Drivers!$B$6*Drivers!$B$7)*(B$5-Drivers!$B$9)+$A10*Drivers!$B$10+Drivers!$B$11*Drivers!$B$12-Drivers!$B$15-ROUNDUP($A10/Drivers!$B$17,0)*Drivers!$B$16-Drivers!$B$18-Drivers!$B$19-Drivers!$B$20-Drivers!$B$21</f>
        <v>37925</v>
      </c>
      <c r="C10" s="9" t="n">
        <f aca="false">($A10*Drivers!$B$5*Drivers!$B$6*Drivers!$B$7)*(C$5-Drivers!$B$9)+$A10*Drivers!$B$10+Drivers!$B$11*Drivers!$B$12-Drivers!$B$15-ROUNDUP($A10/Drivers!$B$17,0)*Drivers!$B$16-Drivers!$B$18-Drivers!$B$19-Drivers!$B$20-Drivers!$B$21</f>
        <v>62300</v>
      </c>
      <c r="D10" s="9" t="n">
        <f aca="false">($A10*Drivers!$B$5*Drivers!$B$6*Drivers!$B$7)*(D$5-Drivers!$B$9)+$A10*Drivers!$B$10+Drivers!$B$11*Drivers!$B$12-Drivers!$B$15-ROUNDUP($A10/Drivers!$B$17,0)*Drivers!$B$16-Drivers!$B$18-Drivers!$B$19-Drivers!$B$20-Drivers!$B$21</f>
        <v>86675</v>
      </c>
      <c r="E10" s="9" t="n">
        <f aca="false">($A10*Drivers!$B$5*Drivers!$B$6*Drivers!$B$7)*(E$5-Drivers!$B$9)+$A10*Drivers!$B$10+Drivers!$B$11*Drivers!$B$12-Drivers!$B$15-ROUNDUP($A10/Drivers!$B$17,0)*Drivers!$B$16-Drivers!$B$18-Drivers!$B$19-Drivers!$B$20-Drivers!$B$21</f>
        <v>135425</v>
      </c>
      <c r="F10" s="9" t="n">
        <f aca="false">($A10*Drivers!$B$5*Drivers!$B$6*Drivers!$B$7)*(F$5-Drivers!$B$9)+$A10*Drivers!$B$10+Drivers!$B$11*Drivers!$B$12-Drivers!$B$15-ROUNDUP($A10/Drivers!$B$17,0)*Drivers!$B$16-Drivers!$B$18-Drivers!$B$19-Drivers!$B$20-Drivers!$B$21</f>
        <v>184175</v>
      </c>
    </row>
    <row r="11" customFormat="false" ht="15" hidden="false" customHeight="false" outlineLevel="0" collapsed="false">
      <c r="A11" s="18" t="n">
        <v>400</v>
      </c>
      <c r="B11" s="9" t="n">
        <f aca="false">($A11*Drivers!$B$5*Drivers!$B$6*Drivers!$B$7)*(B$5-Drivers!$B$9)+$A11*Drivers!$B$10+Drivers!$B$11*Drivers!$B$12-Drivers!$B$15-ROUNDUP($A11/Drivers!$B$17,0)*Drivers!$B$16-Drivers!$B$18-Drivers!$B$19-Drivers!$B$20-Drivers!$B$21</f>
        <v>74960</v>
      </c>
      <c r="C11" s="9" t="n">
        <f aca="false">($A11*Drivers!$B$5*Drivers!$B$6*Drivers!$B$7)*(C$5-Drivers!$B$9)+$A11*Drivers!$B$10+Drivers!$B$11*Drivers!$B$12-Drivers!$B$15-ROUNDUP($A11/Drivers!$B$17,0)*Drivers!$B$16-Drivers!$B$18-Drivers!$B$19-Drivers!$B$20-Drivers!$B$21</f>
        <v>113960</v>
      </c>
      <c r="D11" s="9" t="n">
        <f aca="false">($A11*Drivers!$B$5*Drivers!$B$6*Drivers!$B$7)*(D$5-Drivers!$B$9)+$A11*Drivers!$B$10+Drivers!$B$11*Drivers!$B$12-Drivers!$B$15-ROUNDUP($A11/Drivers!$B$17,0)*Drivers!$B$16-Drivers!$B$18-Drivers!$B$19-Drivers!$B$20-Drivers!$B$21</f>
        <v>152960</v>
      </c>
      <c r="E11" s="9" t="n">
        <f aca="false">($A11*Drivers!$B$5*Drivers!$B$6*Drivers!$B$7)*(E$5-Drivers!$B$9)+$A11*Drivers!$B$10+Drivers!$B$11*Drivers!$B$12-Drivers!$B$15-ROUNDUP($A11/Drivers!$B$17,0)*Drivers!$B$16-Drivers!$B$18-Drivers!$B$19-Drivers!$B$20-Drivers!$B$21</f>
        <v>230960</v>
      </c>
      <c r="F11" s="9" t="n">
        <f aca="false">($A11*Drivers!$B$5*Drivers!$B$6*Drivers!$B$7)*(F$5-Drivers!$B$9)+$A11*Drivers!$B$10+Drivers!$B$11*Drivers!$B$12-Drivers!$B$15-ROUNDUP($A11/Drivers!$B$17,0)*Drivers!$B$16-Drivers!$B$18-Drivers!$B$19-Drivers!$B$20-Drivers!$B$21</f>
        <v>308960</v>
      </c>
    </row>
    <row r="14" customFormat="false" ht="15" hidden="false" customHeight="false" outlineLevel="0" collapsed="false">
      <c r="A14" s="10" t="s">
        <v>82</v>
      </c>
    </row>
    <row r="15" customFormat="false" ht="15" hidden="false" customHeight="false" outlineLevel="0" collapsed="false">
      <c r="A15" s="3" t="s">
        <v>83</v>
      </c>
      <c r="B15" s="17" t="n">
        <v>0.06</v>
      </c>
      <c r="C15" s="17" t="n">
        <v>0.08</v>
      </c>
      <c r="D15" s="17" t="n">
        <v>0.1</v>
      </c>
      <c r="E15" s="17" t="n">
        <v>0.12</v>
      </c>
      <c r="F15" s="17" t="n">
        <v>0.15</v>
      </c>
    </row>
    <row r="16" customFormat="false" ht="15" hidden="false" customHeight="false" outlineLevel="0" collapsed="false">
      <c r="A16" s="18" t="n">
        <v>25</v>
      </c>
      <c r="B16" s="9" t="n">
        <f aca="false">($A16*Drivers!$B$5*B$15*Drivers!$B$7)*(Drivers!$B$8-Drivers!$B$9)+$A16*Drivers!$B$10+Drivers!$B$11*Drivers!$B$12-Drivers!$B$15-ROUNDUP($A16/Drivers!$B$17,0)*Drivers!$B$16-Drivers!$B$18-Drivers!$B$19-Drivers!$B$20-Drivers!$B$21</f>
        <v>-14471.5</v>
      </c>
      <c r="C16" s="9" t="n">
        <f aca="false">($A16*Drivers!$B$5*C$15*Drivers!$B$7)*(Drivers!$B$8-Drivers!$B$9)+$A16*Drivers!$B$10+Drivers!$B$11*Drivers!$B$12-Drivers!$B$15-ROUNDUP($A16/Drivers!$B$17,0)*Drivers!$B$16-Drivers!$B$18-Drivers!$B$19-Drivers!$B$20-Drivers!$B$21</f>
        <v>-12112</v>
      </c>
      <c r="D16" s="9" t="n">
        <f aca="false">($A16*Drivers!$B$5*D$15*Drivers!$B$7)*(Drivers!$B$8-Drivers!$B$9)+$A16*Drivers!$B$10+Drivers!$B$11*Drivers!$B$12-Drivers!$B$15-ROUNDUP($A16/Drivers!$B$17,0)*Drivers!$B$16-Drivers!$B$18-Drivers!$B$19-Drivers!$B$20-Drivers!$B$21</f>
        <v>-9752.5</v>
      </c>
      <c r="E16" s="9" t="n">
        <f aca="false">($A16*Drivers!$B$5*E$15*Drivers!$B$7)*(Drivers!$B$8-Drivers!$B$9)+$A16*Drivers!$B$10+Drivers!$B$11*Drivers!$B$12-Drivers!$B$15-ROUNDUP($A16/Drivers!$B$17,0)*Drivers!$B$16-Drivers!$B$18-Drivers!$B$19-Drivers!$B$20-Drivers!$B$21</f>
        <v>-7393</v>
      </c>
      <c r="F16" s="9" t="n">
        <f aca="false">($A16*Drivers!$B$5*F$15*Drivers!$B$7)*(Drivers!$B$8-Drivers!$B$9)+$A16*Drivers!$B$10+Drivers!$B$11*Drivers!$B$12-Drivers!$B$15-ROUNDUP($A16/Drivers!$B$17,0)*Drivers!$B$16-Drivers!$B$18-Drivers!$B$19-Drivers!$B$20-Drivers!$B$21</f>
        <v>-3853.75</v>
      </c>
    </row>
    <row r="17" customFormat="false" ht="15" hidden="false" customHeight="false" outlineLevel="0" collapsed="false">
      <c r="A17" s="18" t="n">
        <v>50</v>
      </c>
      <c r="B17" s="9" t="n">
        <f aca="false">($A17*Drivers!$B$5*B$15*Drivers!$B$7)*(Drivers!$B$8-Drivers!$B$9)+$A17*Drivers!$B$10+Drivers!$B$11*Drivers!$B$12-Drivers!$B$15-ROUNDUP($A17/Drivers!$B$17,0)*Drivers!$B$16-Drivers!$B$18-Drivers!$B$19-Drivers!$B$20-Drivers!$B$21</f>
        <v>-7143</v>
      </c>
      <c r="C17" s="9" t="n">
        <f aca="false">($A17*Drivers!$B$5*C$15*Drivers!$B$7)*(Drivers!$B$8-Drivers!$B$9)+$A17*Drivers!$B$10+Drivers!$B$11*Drivers!$B$12-Drivers!$B$15-ROUNDUP($A17/Drivers!$B$17,0)*Drivers!$B$16-Drivers!$B$18-Drivers!$B$19-Drivers!$B$20-Drivers!$B$21</f>
        <v>-2424</v>
      </c>
      <c r="D17" s="9" t="n">
        <f aca="false">($A17*Drivers!$B$5*D$15*Drivers!$B$7)*(Drivers!$B$8-Drivers!$B$9)+$A17*Drivers!$B$10+Drivers!$B$11*Drivers!$B$12-Drivers!$B$15-ROUNDUP($A17/Drivers!$B$17,0)*Drivers!$B$16-Drivers!$B$18-Drivers!$B$19-Drivers!$B$20-Drivers!$B$21</f>
        <v>2295</v>
      </c>
      <c r="E17" s="9" t="n">
        <f aca="false">($A17*Drivers!$B$5*E$15*Drivers!$B$7)*(Drivers!$B$8-Drivers!$B$9)+$A17*Drivers!$B$10+Drivers!$B$11*Drivers!$B$12-Drivers!$B$15-ROUNDUP($A17/Drivers!$B$17,0)*Drivers!$B$16-Drivers!$B$18-Drivers!$B$19-Drivers!$B$20-Drivers!$B$21</f>
        <v>7014</v>
      </c>
      <c r="F17" s="9" t="n">
        <f aca="false">($A17*Drivers!$B$5*F$15*Drivers!$B$7)*(Drivers!$B$8-Drivers!$B$9)+$A17*Drivers!$B$10+Drivers!$B$11*Drivers!$B$12-Drivers!$B$15-ROUNDUP($A17/Drivers!$B$17,0)*Drivers!$B$16-Drivers!$B$18-Drivers!$B$19-Drivers!$B$20-Drivers!$B$21</f>
        <v>14092.5</v>
      </c>
    </row>
    <row r="18" customFormat="false" ht="15" hidden="false" customHeight="false" outlineLevel="0" collapsed="false">
      <c r="A18" s="18" t="n">
        <v>100</v>
      </c>
      <c r="B18" s="9" t="n">
        <f aca="false">($A18*Drivers!$B$5*B$15*Drivers!$B$7)*(Drivers!$B$8-Drivers!$B$9)+$A18*Drivers!$B$10+Drivers!$B$11*Drivers!$B$12-Drivers!$B$15-ROUNDUP($A18/Drivers!$B$17,0)*Drivers!$B$16-Drivers!$B$18-Drivers!$B$19-Drivers!$B$20-Drivers!$B$21</f>
        <v>7514</v>
      </c>
      <c r="C18" s="9" t="n">
        <f aca="false">($A18*Drivers!$B$5*C$15*Drivers!$B$7)*(Drivers!$B$8-Drivers!$B$9)+$A18*Drivers!$B$10+Drivers!$B$11*Drivers!$B$12-Drivers!$B$15-ROUNDUP($A18/Drivers!$B$17,0)*Drivers!$B$16-Drivers!$B$18-Drivers!$B$19-Drivers!$B$20-Drivers!$B$21</f>
        <v>16952</v>
      </c>
      <c r="D18" s="9" t="n">
        <f aca="false">($A18*Drivers!$B$5*D$15*Drivers!$B$7)*(Drivers!$B$8-Drivers!$B$9)+$A18*Drivers!$B$10+Drivers!$B$11*Drivers!$B$12-Drivers!$B$15-ROUNDUP($A18/Drivers!$B$17,0)*Drivers!$B$16-Drivers!$B$18-Drivers!$B$19-Drivers!$B$20-Drivers!$B$21</f>
        <v>26390</v>
      </c>
      <c r="E18" s="9" t="n">
        <f aca="false">($A18*Drivers!$B$5*E$15*Drivers!$B$7)*(Drivers!$B$8-Drivers!$B$9)+$A18*Drivers!$B$10+Drivers!$B$11*Drivers!$B$12-Drivers!$B$15-ROUNDUP($A18/Drivers!$B$17,0)*Drivers!$B$16-Drivers!$B$18-Drivers!$B$19-Drivers!$B$20-Drivers!$B$21</f>
        <v>35828</v>
      </c>
      <c r="F18" s="9" t="n">
        <f aca="false">($A18*Drivers!$B$5*F$15*Drivers!$B$7)*(Drivers!$B$8-Drivers!$B$9)+$A18*Drivers!$B$10+Drivers!$B$11*Drivers!$B$12-Drivers!$B$15-ROUNDUP($A18/Drivers!$B$17,0)*Drivers!$B$16-Drivers!$B$18-Drivers!$B$19-Drivers!$B$20-Drivers!$B$21</f>
        <v>49985</v>
      </c>
    </row>
    <row r="19" customFormat="false" ht="15" hidden="false" customHeight="false" outlineLevel="0" collapsed="false">
      <c r="A19" s="18" t="n">
        <v>150</v>
      </c>
      <c r="B19" s="9" t="n">
        <f aca="false">($A19*Drivers!$B$5*B$15*Drivers!$B$7)*(Drivers!$B$8-Drivers!$B$9)+$A19*Drivers!$B$10+Drivers!$B$11*Drivers!$B$12-Drivers!$B$15-ROUNDUP($A19/Drivers!$B$17,0)*Drivers!$B$16-Drivers!$B$18-Drivers!$B$19-Drivers!$B$20-Drivers!$B$21</f>
        <v>16171</v>
      </c>
      <c r="C19" s="9" t="n">
        <f aca="false">($A19*Drivers!$B$5*C$15*Drivers!$B$7)*(Drivers!$B$8-Drivers!$B$9)+$A19*Drivers!$B$10+Drivers!$B$11*Drivers!$B$12-Drivers!$B$15-ROUNDUP($A19/Drivers!$B$17,0)*Drivers!$B$16-Drivers!$B$18-Drivers!$B$19-Drivers!$B$20-Drivers!$B$21</f>
        <v>30328</v>
      </c>
      <c r="D19" s="9" t="n">
        <f aca="false">($A19*Drivers!$B$5*D$15*Drivers!$B$7)*(Drivers!$B$8-Drivers!$B$9)+$A19*Drivers!$B$10+Drivers!$B$11*Drivers!$B$12-Drivers!$B$15-ROUNDUP($A19/Drivers!$B$17,0)*Drivers!$B$16-Drivers!$B$18-Drivers!$B$19-Drivers!$B$20-Drivers!$B$21</f>
        <v>44485</v>
      </c>
      <c r="E19" s="9" t="n">
        <f aca="false">($A19*Drivers!$B$5*E$15*Drivers!$B$7)*(Drivers!$B$8-Drivers!$B$9)+$A19*Drivers!$B$10+Drivers!$B$11*Drivers!$B$12-Drivers!$B$15-ROUNDUP($A19/Drivers!$B$17,0)*Drivers!$B$16-Drivers!$B$18-Drivers!$B$19-Drivers!$B$20-Drivers!$B$21</f>
        <v>58642</v>
      </c>
      <c r="F19" s="9" t="n">
        <f aca="false">($A19*Drivers!$B$5*F$15*Drivers!$B$7)*(Drivers!$B$8-Drivers!$B$9)+$A19*Drivers!$B$10+Drivers!$B$11*Drivers!$B$12-Drivers!$B$15-ROUNDUP($A19/Drivers!$B$17,0)*Drivers!$B$16-Drivers!$B$18-Drivers!$B$19-Drivers!$B$20-Drivers!$B$21</f>
        <v>79877.5</v>
      </c>
    </row>
    <row r="20" customFormat="false" ht="15" hidden="false" customHeight="false" outlineLevel="0" collapsed="false">
      <c r="A20" s="18" t="n">
        <v>250</v>
      </c>
      <c r="B20" s="9" t="n">
        <f aca="false">($A20*Drivers!$B$5*B$15*Drivers!$B$7)*(Drivers!$B$8-Drivers!$B$9)+$A20*Drivers!$B$10+Drivers!$B$11*Drivers!$B$12-Drivers!$B$15-ROUNDUP($A20/Drivers!$B$17,0)*Drivers!$B$16-Drivers!$B$18-Drivers!$B$19-Drivers!$B$20-Drivers!$B$21</f>
        <v>39485</v>
      </c>
      <c r="C20" s="9" t="n">
        <f aca="false">($A20*Drivers!$B$5*C$15*Drivers!$B$7)*(Drivers!$B$8-Drivers!$B$9)+$A20*Drivers!$B$10+Drivers!$B$11*Drivers!$B$12-Drivers!$B$15-ROUNDUP($A20/Drivers!$B$17,0)*Drivers!$B$16-Drivers!$B$18-Drivers!$B$19-Drivers!$B$20-Drivers!$B$21</f>
        <v>63080</v>
      </c>
      <c r="D20" s="9" t="n">
        <f aca="false">($A20*Drivers!$B$5*D$15*Drivers!$B$7)*(Drivers!$B$8-Drivers!$B$9)+$A20*Drivers!$B$10+Drivers!$B$11*Drivers!$B$12-Drivers!$B$15-ROUNDUP($A20/Drivers!$B$17,0)*Drivers!$B$16-Drivers!$B$18-Drivers!$B$19-Drivers!$B$20-Drivers!$B$21</f>
        <v>86675</v>
      </c>
      <c r="E20" s="9" t="n">
        <f aca="false">($A20*Drivers!$B$5*E$15*Drivers!$B$7)*(Drivers!$B$8-Drivers!$B$9)+$A20*Drivers!$B$10+Drivers!$B$11*Drivers!$B$12-Drivers!$B$15-ROUNDUP($A20/Drivers!$B$17,0)*Drivers!$B$16-Drivers!$B$18-Drivers!$B$19-Drivers!$B$20-Drivers!$B$21</f>
        <v>110270</v>
      </c>
      <c r="F20" s="9" t="n">
        <f aca="false">($A20*Drivers!$B$5*F$15*Drivers!$B$7)*(Drivers!$B$8-Drivers!$B$9)+$A20*Drivers!$B$10+Drivers!$B$11*Drivers!$B$12-Drivers!$B$15-ROUNDUP($A20/Drivers!$B$17,0)*Drivers!$B$16-Drivers!$B$18-Drivers!$B$19-Drivers!$B$20-Drivers!$B$21</f>
        <v>145662.5</v>
      </c>
    </row>
    <row r="21" customFormat="false" ht="15" hidden="false" customHeight="false" outlineLevel="0" collapsed="false">
      <c r="A21" s="18" t="n">
        <v>400</v>
      </c>
      <c r="B21" s="9" t="n">
        <f aca="false">($A21*Drivers!$B$5*B$15*Drivers!$B$7)*(Drivers!$B$8-Drivers!$B$9)+$A21*Drivers!$B$10+Drivers!$B$11*Drivers!$B$12-Drivers!$B$15-ROUNDUP($A21/Drivers!$B$17,0)*Drivers!$B$16-Drivers!$B$18-Drivers!$B$19-Drivers!$B$20-Drivers!$B$21</f>
        <v>77456</v>
      </c>
      <c r="C21" s="9" t="n">
        <f aca="false">($A21*Drivers!$B$5*C$15*Drivers!$B$7)*(Drivers!$B$8-Drivers!$B$9)+$A21*Drivers!$B$10+Drivers!$B$11*Drivers!$B$12-Drivers!$B$15-ROUNDUP($A21/Drivers!$B$17,0)*Drivers!$B$16-Drivers!$B$18-Drivers!$B$19-Drivers!$B$20-Drivers!$B$21</f>
        <v>115208</v>
      </c>
      <c r="D21" s="9" t="n">
        <f aca="false">($A21*Drivers!$B$5*D$15*Drivers!$B$7)*(Drivers!$B$8-Drivers!$B$9)+$A21*Drivers!$B$10+Drivers!$B$11*Drivers!$B$12-Drivers!$B$15-ROUNDUP($A21/Drivers!$B$17,0)*Drivers!$B$16-Drivers!$B$18-Drivers!$B$19-Drivers!$B$20-Drivers!$B$21</f>
        <v>152960</v>
      </c>
      <c r="E21" s="9" t="n">
        <f aca="false">($A21*Drivers!$B$5*E$15*Drivers!$B$7)*(Drivers!$B$8-Drivers!$B$9)+$A21*Drivers!$B$10+Drivers!$B$11*Drivers!$B$12-Drivers!$B$15-ROUNDUP($A21/Drivers!$B$17,0)*Drivers!$B$16-Drivers!$B$18-Drivers!$B$19-Drivers!$B$20-Drivers!$B$21</f>
        <v>190712</v>
      </c>
      <c r="F21" s="9" t="n">
        <f aca="false">($A21*Drivers!$B$5*F$15*Drivers!$B$7)*(Drivers!$B$8-Drivers!$B$9)+$A21*Drivers!$B$10+Drivers!$B$11*Drivers!$B$12-Drivers!$B$15-ROUNDUP($A21/Drivers!$B$17,0)*Drivers!$B$16-Drivers!$B$18-Drivers!$B$19-Drivers!$B$20-Drivers!$B$21</f>
        <v>247340</v>
      </c>
    </row>
    <row r="23" customFormat="false" ht="15" hidden="false" customHeight="false" outlineLevel="0" collapsed="false">
      <c r="A23" s="10" t="s">
        <v>84</v>
      </c>
      <c r="E23" s="11" t="n">
        <f aca="false">'Operator vs Platform'!B7</f>
        <v>36030</v>
      </c>
    </row>
    <row r="24" customFormat="false" ht="15" hidden="false" customHeight="false" outlineLevel="0" collapsed="false">
      <c r="A24" s="2" t="s">
        <v>85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2026-10-22T18:50:44Z</dcterms:created>
  <dc:creator>openpyxl</dc:creator>
  <dc:description/>
  <dc:language>en-US</dc:language>
  <cp:lastModifiedBy/>
  <dcterms:modified xsi:type="dcterms:W3CDTF">2026-10-22T18:50:44Z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
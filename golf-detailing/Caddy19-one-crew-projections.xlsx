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One-Crew Projection" sheetId="2" state="visible" r:id="rId4"/>
    <sheet name="Van vs Tesla" sheetId="3" state="visible" r:id="rId5"/>
    <sheet name="Sensitivity" sheetId="4" state="visible" r:id="rId6"/>
    <sheet name="Clubs &amp; Members Need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<sst xmlns="http://schemas.openxmlformats.org/spreadsheetml/2006/main" count="132" uniqueCount="102">
  <si>
    <t xml:space="preserve">Caddy 19 — Drivers (all inputs live here)</t>
  </si>
  <si>
    <t xml:space="preserve">CORE DRIVERS</t>
  </si>
  <si>
    <t xml:space="preserve">Cars per day per crew</t>
  </si>
  <si>
    <t xml:space="preserve">Operating days per week</t>
  </si>
  <si>
    <t xml:space="preserve">Weeks per month</t>
  </si>
  <si>
    <t xml:space="preserve">Avg ticket ($)</t>
  </si>
  <si>
    <t xml:space="preserve">Number of crews</t>
  </si>
  <si>
    <t xml:space="preserve">Tech labor % of revenue</t>
  </si>
  <si>
    <t xml:space="preserve">Payroll burden % of wages</t>
  </si>
  <si>
    <t xml:space="preserve">Credit-card processing % of revenue</t>
  </si>
  <si>
    <t xml:space="preserve">Club revenue share % of revenue</t>
  </si>
  <si>
    <t xml:space="preserve">Supplies per car ($)</t>
  </si>
  <si>
    <t xml:space="preserve">Manager salary $/month (0 if owner/brother takes residual)</t>
  </si>
  <si>
    <t xml:space="preserve">Vehicle setup (type "Van" or "Tesla")</t>
  </si>
  <si>
    <t xml:space="preserve">Van</t>
  </si>
  <si>
    <t xml:space="preserve">COMPUTED</t>
  </si>
  <si>
    <t xml:space="preserve">Club-days per month</t>
  </si>
  <si>
    <t xml:space="preserve">Cars per month per crew</t>
  </si>
  <si>
    <t xml:space="preserve">Variable cost % of revenue</t>
  </si>
  <si>
    <t xml:space="preserve">VAN SETUP — monthly fixed</t>
  </si>
  <si>
    <t xml:space="preserve">Lease</t>
  </si>
  <si>
    <t xml:space="preserve">Commercial auto insurance</t>
  </si>
  <si>
    <t xml:space="preserve">GL + garagekeepers + BOP</t>
  </si>
  <si>
    <t xml:space="preserve">Fuel (gas)</t>
  </si>
  <si>
    <t xml:space="preserve">Equipment upkeep</t>
  </si>
  <si>
    <t xml:space="preserve">Software / booking / phone</t>
  </si>
  <si>
    <t xml:space="preserve">Marketing</t>
  </si>
  <si>
    <t xml:space="preserve">Misc</t>
  </si>
  <si>
    <t xml:space="preserve">Van fixed/mo (SUM)</t>
  </si>
  <si>
    <t xml:space="preserve">TESLA SETUP — monthly fixed</t>
  </si>
  <si>
    <t xml:space="preserve">Lease (Model Y-class; note: Cybertruck ~$1,100/mo)</t>
  </si>
  <si>
    <t xml:space="preserve">Charging</t>
  </si>
  <si>
    <t xml:space="preserve">Tesla fixed/mo (SUM)</t>
  </si>
  <si>
    <t xml:space="preserve">ACTIVE FIXED COSTS/MO (drives Projection &amp; Sensitivity)</t>
  </si>
  <si>
    <t xml:space="preserve">NOTES</t>
  </si>
  <si>
    <t xml:space="preserve">Realistic throughput: 4-6 cars/day for a 2-person crew (~5 base). Cash flow available to owner/manager = the residual on the One-Crew Projection tab; at ONE crew this is effectively what your brother earns to run it (he can also work as a tech to earn tech pay on top). Set Manager salary &gt; 0 only if paying a separate manager (usually once you add crews).</t>
  </si>
  <si>
    <t xml:space="preserve">Caddy 19 — One-Crew Projection (Monthly + Annual P&amp;L)</t>
  </si>
  <si>
    <t xml:space="preserve">Monthly</t>
  </si>
  <si>
    <t xml:space="preserve">Annual</t>
  </si>
  <si>
    <t xml:space="preserve">Revenue</t>
  </si>
  <si>
    <t xml:space="preserve">Cars serviced/month</t>
  </si>
  <si>
    <t xml:space="preserve">Tech labor</t>
  </si>
  <si>
    <t xml:space="preserve">Payroll burden</t>
  </si>
  <si>
    <t xml:space="preserve">Credit-card processing</t>
  </si>
  <si>
    <t xml:space="preserve">Club revenue share</t>
  </si>
  <si>
    <t xml:space="preserve">Supplies</t>
  </si>
  <si>
    <t xml:space="preserve">Active fixed costs</t>
  </si>
  <si>
    <t xml:space="preserve">Manager salary</t>
  </si>
  <si>
    <t xml:space="preserve">TOTAL COSTS</t>
  </si>
  <si>
    <t xml:space="preserve">OWNER/MANAGER CASH FLOW (pre-tax)</t>
  </si>
  <si>
    <t xml:space="preserve">Operating margin %</t>
  </si>
  <si>
    <t xml:space="preserve">At 5 cars/day, 5 days/wk, one Van crew: ~$5,335/mo (~$64k/yr) to the owner/manager. Tesla setup: ~$5,475/mo. Drop to 3 days/wk and it roughly halves -- utilization is everything.</t>
  </si>
  <si>
    <t xml:space="preserve">Caddy 19 — Van vs Tesla (Monthly P&amp;L at current volume)</t>
  </si>
  <si>
    <t xml:space="preserve">Tesla</t>
  </si>
  <si>
    <t xml:space="preserve">Difference (Tesla - Van)</t>
  </si>
  <si>
    <t xml:space="preserve">Total variable costs</t>
  </si>
  <si>
    <t xml:space="preserve">FIXED COSTS</t>
  </si>
  <si>
    <t xml:space="preserve">Fuel / Charging</t>
  </si>
  <si>
    <t xml:space="preserve">Total fixed (x crews)</t>
  </si>
  <si>
    <t xml:space="preserve">OWNER/MANAGER CASH FLOW</t>
  </si>
  <si>
    <t xml:space="preserve">ONE-TIME STARTUP COSTS</t>
  </si>
  <si>
    <t xml:space="preserve">Detailing equipment (pressure washer, generator, water tank, extractor, polisher, vac, reclamation)</t>
  </si>
  <si>
    <t xml:space="preserve">Lease drive-off</t>
  </si>
  <si>
    <t xml:space="preserve">Insurance deposit</t>
  </si>
  <si>
    <t xml:space="preserve">Brand / print / uniforms</t>
  </si>
  <si>
    <t xml:space="preserve">Initial supplies</t>
  </si>
  <si>
    <t xml:space="preserve">Permits / licenses</t>
  </si>
  <si>
    <t xml:space="preserve">Working capital buffer</t>
  </si>
  <si>
    <t xml:space="preserve">Contingency</t>
  </si>
  <si>
    <t xml:space="preserve">TOTAL</t>
  </si>
  <si>
    <t xml:space="preserve">PROS / CONS / WATCH-OUTS</t>
  </si>
  <si>
    <t xml:space="preserve">+ Big water capacity handles very dirty cars.
- Gas generator is NOISY on a course; gas cost; less premium image.</t>
  </si>
  <si>
    <t xml:space="preserve">+ Silent + premium + electric power fits clubs. + Rinseless/steam method = near-zero runoff (easiest turf/grounds approval).
- Lease MILEAGE CAPS (driving club-to-club eats miles); limited water for heavy jobs; pricier power station up front.
Note: Cybertruck has stronger built-in outlets (PowerShare) but ~$1,100/mo lease.</t>
  </si>
  <si>
    <t xml:space="preserve">Caddy 19 — Sensitivity Analysis</t>
  </si>
  <si>
    <t xml:space="preserve">GRID A -- Monthly Owner/Manager Cash Flow (one crew): Cars/day x Avg Ticket</t>
  </si>
  <si>
    <t xml:space="preserve">Cars/day \ Avg Ticket</t>
  </si>
  <si>
    <t xml:space="preserve">ANNUAL (Grid A x 12)</t>
  </si>
  <si>
    <t xml:space="preserve">GRID B -- Total Monthly Cash Flow, pre-manager: Number of Crews x Cars/day (at Drivers Avg Ticket)</t>
  </si>
  <si>
    <t xml:space="preserve">Crews \ Cars/day</t>
  </si>
  <si>
    <t xml:space="preserve">Grid B excludes a dedicated manager salary -- add ~$6,600/mo once you hire one (typically around 4+ crews). One crew's residual IS the owner/manager income.</t>
  </si>
  <si>
    <t xml:space="preserve">Caddy 19 — Clubs &amp; Members Needed (how many clubs keep a crew busy)</t>
  </si>
  <si>
    <t xml:space="preserve">INPUTS</t>
  </si>
  <si>
    <t xml:space="preserve">Avg golf members per club</t>
  </si>
  <si>
    <t xml:space="preserve">Monthly detail rate (% of members detailing / month)</t>
  </si>
  <si>
    <t xml:space="preserve">   e.g., 5% recurring-plan (1/mo) + 5% occasional = 10%</t>
  </si>
  <si>
    <t xml:space="preserve">DEMAND TARGET (auto-pulled from Drivers)</t>
  </si>
  <si>
    <t xml:space="preserve">Cars/month needed — per crew</t>
  </si>
  <si>
    <t xml:space="preserve">Total cars/month needed</t>
  </si>
  <si>
    <t xml:space="preserve">SUPPLY PER CLUB</t>
  </si>
  <si>
    <t xml:space="preserve">Details supplied per club / month</t>
  </si>
  <si>
    <t xml:space="preserve">Club-days/week one club fills</t>
  </si>
  <si>
    <t xml:space="preserve">RESULT</t>
  </si>
  <si>
    <t xml:space="preserve">▶ Clubs needed to keep ONE crew busy</t>
  </si>
  <si>
    <t xml:space="preserve">▶ Clubs needed for ALL crews</t>
  </si>
  <si>
    <t xml:space="preserve">Members detailing/month across those clubs</t>
  </si>
  <si>
    <t xml:space="preserve">   ≈ your recurring-member base if most are on monthly plans</t>
  </si>
  <si>
    <t xml:space="preserve">CLUBS NEEDED FOR ONE CREW — Monthly detail rate (rows) × Avg club size (cols)</t>
  </si>
  <si>
    <t xml:space="preserve">detail rate \ club size</t>
  </si>
  <si>
    <t xml:space="preserve">Notes</t>
  </si>
  <si>
    <t xml:space="preserve">• "Detail rate" = share of a club's golf members who get a detail in a given month (plan + occasional).</t>
  </si>
  <si>
    <t xml:space="preserve">• Weekend demand clusters Sat/Sun; recurring memberships are what fill Tue–Thu. Cluster clubs geographically (one crew = one club/day).</t>
  </si>
  <si>
    <t xml:space="preserve">• Clubs are rounded UP to whole clubs — you can't book half a club.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</si>
</sst>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0"/>
    <numFmt numFmtId="167" formatCode="\$#,##0"/>
    <numFmt numFmtId="168" formatCode="0.0%"/>
    <numFmt numFmtId="169" formatCode="@"/>
    <numFmt numFmtId="170" formatCode="0.0"/>
    <numFmt numFmtId="171" formatCode="#,##0"/>
    <numFmt numFmtId="172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3"/>
      <color rgb="FF0B3D2C"/>
      <name val="Cambria"/>
      <family val="0"/>
      <charset val="1"/>
    </font>
    <font>
      <b val="true"/>
      <sz val="12"/>
      <color rgb="FF0B3D2C"/>
      <name val="Cambria"/>
      <family val="0"/>
      <charset val="1"/>
    </font>
    <font>
      <i val="true"/>
      <sz val="9"/>
      <color rgb="FF4A6357"/>
      <name val="Cambria"/>
      <family val="0"/>
      <charset val="1"/>
    </font>
    <font>
      <b val="true"/>
      <sz val="11"/>
      <color rgb="FF0B3D2C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A6357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A6357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B3D2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5" t="n">
        <v>5</v>
      </c>
    </row>
    <row r="5" customFormat="false" ht="15" hidden="false" customHeight="true" outlineLevel="0" collapsed="false">
      <c r="A5" s="4" t="s">
        <v>3</v>
      </c>
      <c r="B5" s="5" t="n">
        <v>5</v>
      </c>
    </row>
    <row r="6" customFormat="false" ht="15" hidden="false" customHeight="true" outlineLevel="0" collapsed="false">
      <c r="A6" s="4" t="s">
        <v>4</v>
      </c>
      <c r="B6" s="6" t="n">
        <v>4.33</v>
      </c>
    </row>
    <row r="7" customFormat="false" ht="15" hidden="false" customHeight="true" outlineLevel="0" collapsed="false">
      <c r="A7" s="4" t="s">
        <v>5</v>
      </c>
      <c r="B7" s="7" t="n">
        <v>165</v>
      </c>
    </row>
    <row r="8" customFormat="false" ht="15" hidden="false" customHeight="true" outlineLevel="0" collapsed="false">
      <c r="A8" s="4" t="s">
        <v>6</v>
      </c>
      <c r="B8" s="5" t="n">
        <v>1</v>
      </c>
    </row>
    <row r="9" customFormat="false" ht="15" hidden="false" customHeight="true" outlineLevel="0" collapsed="false">
      <c r="A9" s="4" t="s">
        <v>7</v>
      </c>
      <c r="B9" s="8" t="n">
        <v>0.32</v>
      </c>
    </row>
    <row r="10" customFormat="false" ht="15" hidden="false" customHeight="true" outlineLevel="0" collapsed="false">
      <c r="A10" s="4" t="s">
        <v>8</v>
      </c>
      <c r="B10" s="8" t="n">
        <v>0.14</v>
      </c>
    </row>
    <row r="11" customFormat="false" ht="15" hidden="false" customHeight="true" outlineLevel="0" collapsed="false">
      <c r="A11" s="4" t="s">
        <v>9</v>
      </c>
      <c r="B11" s="8" t="n">
        <v>0.029</v>
      </c>
    </row>
    <row r="12" customFormat="false" ht="15" hidden="false" customHeight="true" outlineLevel="0" collapsed="false">
      <c r="A12" s="4" t="s">
        <v>10</v>
      </c>
      <c r="B12" s="8" t="n">
        <v>0.12</v>
      </c>
    </row>
    <row r="13" customFormat="false" ht="15" hidden="false" customHeight="true" outlineLevel="0" collapsed="false">
      <c r="A13" s="4" t="s">
        <v>11</v>
      </c>
      <c r="B13" s="7" t="n">
        <v>12</v>
      </c>
    </row>
    <row r="14" customFormat="false" ht="15" hidden="false" customHeight="true" outlineLevel="0" collapsed="false">
      <c r="A14" s="4" t="s">
        <v>12</v>
      </c>
      <c r="B14" s="7" t="n">
        <v>0</v>
      </c>
    </row>
    <row r="15" customFormat="false" ht="15" hidden="false" customHeight="true" outlineLevel="0" collapsed="false">
      <c r="A15" s="4" t="s">
        <v>13</v>
      </c>
      <c r="B15" s="9" t="s">
        <v>14</v>
      </c>
    </row>
    <row r="17" customFormat="false" ht="15" hidden="false" customHeight="true" outlineLevel="0" collapsed="false">
      <c r="A17" s="3" t="s">
        <v>15</v>
      </c>
      <c r="B17" s="3"/>
      <c r="C17" s="3"/>
      <c r="D17" s="3"/>
      <c r="E17" s="3"/>
    </row>
    <row r="18" customFormat="false" ht="15" hidden="false" customHeight="true" outlineLevel="0" collapsed="false">
      <c r="A18" s="4" t="s">
        <v>16</v>
      </c>
      <c r="B18" s="10" t="n">
        <f aca="false">B5*B6</f>
        <v>21.65</v>
      </c>
    </row>
    <row r="19" customFormat="false" ht="15" hidden="false" customHeight="true" outlineLevel="0" collapsed="false">
      <c r="A19" s="4" t="s">
        <v>17</v>
      </c>
      <c r="B19" s="11" t="n">
        <f aca="false">B4*B18</f>
        <v>108.25</v>
      </c>
    </row>
    <row r="20" customFormat="false" ht="15" hidden="false" customHeight="true" outlineLevel="0" collapsed="false">
      <c r="A20" s="4" t="s">
        <v>18</v>
      </c>
      <c r="B20" s="12" t="n">
        <f aca="false">B9+B9*B10+B11+B12</f>
        <v>0.5138</v>
      </c>
    </row>
    <row r="22" customFormat="false" ht="15" hidden="false" customHeight="true" outlineLevel="0" collapsed="false">
      <c r="A22" s="3" t="s">
        <v>19</v>
      </c>
      <c r="B22" s="3"/>
      <c r="C22" s="3"/>
      <c r="D22" s="3"/>
      <c r="E22" s="3"/>
    </row>
    <row r="23" customFormat="false" ht="15" hidden="false" customHeight="true" outlineLevel="0" collapsed="false">
      <c r="A23" s="4" t="s">
        <v>20</v>
      </c>
      <c r="B23" s="7" t="n">
        <v>650</v>
      </c>
    </row>
    <row r="24" customFormat="false" ht="15" hidden="false" customHeight="true" outlineLevel="0" collapsed="false">
      <c r="A24" s="4" t="s">
        <v>21</v>
      </c>
      <c r="B24" s="7" t="n">
        <v>220</v>
      </c>
    </row>
    <row r="25" customFormat="false" ht="15" hidden="false" customHeight="true" outlineLevel="0" collapsed="false">
      <c r="A25" s="4" t="s">
        <v>22</v>
      </c>
      <c r="B25" s="7" t="n">
        <v>150</v>
      </c>
    </row>
    <row r="26" customFormat="false" ht="15" hidden="false" customHeight="true" outlineLevel="0" collapsed="false">
      <c r="A26" s="4" t="s">
        <v>23</v>
      </c>
      <c r="B26" s="7" t="n">
        <v>400</v>
      </c>
    </row>
    <row r="27" customFormat="false" ht="15" hidden="false" customHeight="true" outlineLevel="0" collapsed="false">
      <c r="A27" s="4" t="s">
        <v>24</v>
      </c>
      <c r="B27" s="7" t="n">
        <v>200</v>
      </c>
    </row>
    <row r="28" customFormat="false" ht="15" hidden="false" customHeight="true" outlineLevel="0" collapsed="false">
      <c r="A28" s="4" t="s">
        <v>25</v>
      </c>
      <c r="B28" s="7" t="n">
        <v>80</v>
      </c>
    </row>
    <row r="29" customFormat="false" ht="15" hidden="false" customHeight="true" outlineLevel="0" collapsed="false">
      <c r="A29" s="4" t="s">
        <v>26</v>
      </c>
      <c r="B29" s="7" t="n">
        <v>150</v>
      </c>
    </row>
    <row r="30" customFormat="false" ht="15" hidden="false" customHeight="true" outlineLevel="0" collapsed="false">
      <c r="A30" s="4" t="s">
        <v>27</v>
      </c>
      <c r="B30" s="7" t="n">
        <v>200</v>
      </c>
    </row>
    <row r="31" customFormat="false" ht="15" hidden="false" customHeight="true" outlineLevel="0" collapsed="false">
      <c r="A31" s="13" t="s">
        <v>28</v>
      </c>
      <c r="B31" s="14" t="n">
        <f aca="false">SUM(B23:B30)</f>
        <v>2050</v>
      </c>
    </row>
    <row r="33" customFormat="false" ht="15" hidden="false" customHeight="true" outlineLevel="0" collapsed="false">
      <c r="A33" s="3" t="s">
        <v>29</v>
      </c>
      <c r="B33" s="3"/>
      <c r="C33" s="3"/>
      <c r="D33" s="3"/>
      <c r="E33" s="3"/>
    </row>
    <row r="34" customFormat="false" ht="15" hidden="false" customHeight="true" outlineLevel="0" collapsed="false">
      <c r="A34" s="4" t="s">
        <v>30</v>
      </c>
      <c r="B34" s="7" t="n">
        <v>750</v>
      </c>
    </row>
    <row r="35" customFormat="false" ht="15" hidden="false" customHeight="true" outlineLevel="0" collapsed="false">
      <c r="A35" s="4" t="s">
        <v>21</v>
      </c>
      <c r="B35" s="7" t="n">
        <v>300</v>
      </c>
    </row>
    <row r="36" customFormat="false" ht="15" hidden="false" customHeight="true" outlineLevel="0" collapsed="false">
      <c r="A36" s="4" t="s">
        <v>22</v>
      </c>
      <c r="B36" s="7" t="n">
        <v>150</v>
      </c>
    </row>
    <row r="37" customFormat="false" ht="15" hidden="false" customHeight="true" outlineLevel="0" collapsed="false">
      <c r="A37" s="4" t="s">
        <v>31</v>
      </c>
      <c r="B37" s="7" t="n">
        <v>80</v>
      </c>
    </row>
    <row r="38" customFormat="false" ht="15" hidden="false" customHeight="true" outlineLevel="0" collapsed="false">
      <c r="A38" s="4" t="s">
        <v>24</v>
      </c>
      <c r="B38" s="7" t="n">
        <v>200</v>
      </c>
    </row>
    <row r="39" customFormat="false" ht="15" hidden="false" customHeight="true" outlineLevel="0" collapsed="false">
      <c r="A39" s="4" t="s">
        <v>25</v>
      </c>
      <c r="B39" s="7" t="n">
        <v>80</v>
      </c>
    </row>
    <row r="40" customFormat="false" ht="15" hidden="false" customHeight="true" outlineLevel="0" collapsed="false">
      <c r="A40" s="4" t="s">
        <v>26</v>
      </c>
      <c r="B40" s="7" t="n">
        <v>150</v>
      </c>
    </row>
    <row r="41" customFormat="false" ht="15" hidden="false" customHeight="true" outlineLevel="0" collapsed="false">
      <c r="A41" s="4" t="s">
        <v>27</v>
      </c>
      <c r="B41" s="7" t="n">
        <v>200</v>
      </c>
    </row>
    <row r="42" customFormat="false" ht="15" hidden="false" customHeight="true" outlineLevel="0" collapsed="false">
      <c r="A42" s="13" t="s">
        <v>32</v>
      </c>
      <c r="B42" s="14" t="n">
        <f aca="false">SUM(B34:B41)</f>
        <v>1910</v>
      </c>
    </row>
    <row r="44" customFormat="false" ht="15" hidden="false" customHeight="true" outlineLevel="0" collapsed="false">
      <c r="A44" s="13" t="s">
        <v>33</v>
      </c>
      <c r="B44" s="14" t="n">
        <f aca="false">IF(B15="Tesla",B42,B31)</f>
        <v>2050</v>
      </c>
    </row>
    <row r="46" customFormat="false" ht="15" hidden="false" customHeight="true" outlineLevel="0" collapsed="false">
      <c r="A46" s="3" t="s">
        <v>34</v>
      </c>
      <c r="B46" s="3"/>
      <c r="C46" s="3"/>
      <c r="D46" s="3"/>
      <c r="E46" s="3"/>
    </row>
    <row r="47" customFormat="false" ht="69.75" hidden="false" customHeight="true" outlineLevel="0" collapsed="false">
      <c r="A47" s="15" t="s">
        <v>35</v>
      </c>
      <c r="B47" s="15"/>
      <c r="C47" s="15"/>
      <c r="D47" s="15"/>
      <c r="E47" s="15"/>
    </row>
  </sheetData>
  <mergeCells count="7">
    <mergeCell ref="A1:E1"/>
    <mergeCell ref="A3:E3"/>
    <mergeCell ref="A17:E17"/>
    <mergeCell ref="A22:E22"/>
    <mergeCell ref="A33:E33"/>
    <mergeCell ref="A46:E46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</cols>
  <sheetData>
    <row r="1" customFormat="false" ht="25.5" hidden="false" customHeight="true" outlineLevel="0" collapsed="false">
      <c r="A1" s="2" t="s">
        <v>36</v>
      </c>
      <c r="B1" s="2"/>
      <c r="C1" s="2"/>
    </row>
    <row r="3" customFormat="false" ht="15" hidden="false" customHeight="true" outlineLevel="0" collapsed="false">
      <c r="B3" s="16" t="s">
        <v>37</v>
      </c>
      <c r="C3" s="16" t="s">
        <v>38</v>
      </c>
    </row>
    <row r="4" customFormat="false" ht="15" hidden="false" customHeight="true" outlineLevel="0" collapsed="false">
      <c r="A4" s="13" t="s">
        <v>39</v>
      </c>
      <c r="B4" s="17" t="n">
        <f aca="false">Drivers!B4*Drivers!B18*Drivers!B7*Drivers!B8</f>
        <v>17861.25</v>
      </c>
      <c r="C4" s="17" t="n">
        <f aca="false">B4*12</f>
        <v>214335</v>
      </c>
    </row>
    <row r="5" customFormat="false" ht="15" hidden="false" customHeight="true" outlineLevel="0" collapsed="false">
      <c r="A5" s="4" t="s">
        <v>40</v>
      </c>
      <c r="B5" s="18" t="n">
        <f aca="false">Drivers!B19*Drivers!B8</f>
        <v>108.25</v>
      </c>
      <c r="C5" s="11" t="n">
        <f aca="false">B5*12</f>
        <v>1299</v>
      </c>
    </row>
    <row r="6" customFormat="false" ht="15" hidden="false" customHeight="true" outlineLevel="0" collapsed="false">
      <c r="A6" s="4" t="s">
        <v>41</v>
      </c>
      <c r="B6" s="19" t="n">
        <f aca="false">B4*Drivers!B9</f>
        <v>5715.6</v>
      </c>
      <c r="C6" s="20" t="n">
        <f aca="false">B6*12</f>
        <v>68587.2</v>
      </c>
    </row>
    <row r="7" customFormat="false" ht="15" hidden="false" customHeight="true" outlineLevel="0" collapsed="false">
      <c r="A7" s="4" t="s">
        <v>42</v>
      </c>
      <c r="B7" s="19" t="n">
        <f aca="false">B6*Drivers!B10</f>
        <v>800.184</v>
      </c>
      <c r="C7" s="20" t="n">
        <f aca="false">B7*12</f>
        <v>9602.208</v>
      </c>
    </row>
    <row r="8" customFormat="false" ht="15" hidden="false" customHeight="true" outlineLevel="0" collapsed="false">
      <c r="A8" s="4" t="s">
        <v>43</v>
      </c>
      <c r="B8" s="19" t="n">
        <f aca="false">B4*Drivers!B11</f>
        <v>517.97625</v>
      </c>
      <c r="C8" s="20" t="n">
        <f aca="false">B8*12</f>
        <v>6215.715</v>
      </c>
    </row>
    <row r="9" customFormat="false" ht="15" hidden="false" customHeight="true" outlineLevel="0" collapsed="false">
      <c r="A9" s="4" t="s">
        <v>44</v>
      </c>
      <c r="B9" s="19" t="n">
        <f aca="false">B4*Drivers!B12</f>
        <v>2143.35</v>
      </c>
      <c r="C9" s="20" t="n">
        <f aca="false">B9*12</f>
        <v>25720.2</v>
      </c>
    </row>
    <row r="10" customFormat="false" ht="15" hidden="false" customHeight="true" outlineLevel="0" collapsed="false">
      <c r="A10" s="4" t="s">
        <v>45</v>
      </c>
      <c r="B10" s="19" t="n">
        <f aca="false">B5*Drivers!B13</f>
        <v>1299</v>
      </c>
      <c r="C10" s="20" t="n">
        <f aca="false">B10*12</f>
        <v>15588</v>
      </c>
    </row>
    <row r="11" customFormat="false" ht="15" hidden="false" customHeight="true" outlineLevel="0" collapsed="false">
      <c r="A11" s="4" t="s">
        <v>46</v>
      </c>
      <c r="B11" s="19" t="n">
        <f aca="false">Drivers!B44*Drivers!B8</f>
        <v>2050</v>
      </c>
      <c r="C11" s="20" t="n">
        <f aca="false">B11*12</f>
        <v>24600</v>
      </c>
    </row>
    <row r="12" customFormat="false" ht="15" hidden="false" customHeight="true" outlineLevel="0" collapsed="false">
      <c r="A12" s="4" t="s">
        <v>47</v>
      </c>
      <c r="B12" s="19" t="n">
        <f aca="false">Drivers!B14</f>
        <v>0</v>
      </c>
      <c r="C12" s="20" t="n">
        <f aca="false">B12*12</f>
        <v>0</v>
      </c>
    </row>
    <row r="13" customFormat="false" ht="15" hidden="false" customHeight="true" outlineLevel="0" collapsed="false">
      <c r="A13" s="13" t="s">
        <v>48</v>
      </c>
      <c r="B13" s="14" t="n">
        <f aca="false">SUM(B6:B12)</f>
        <v>12526.11025</v>
      </c>
      <c r="C13" s="14" t="n">
        <f aca="false">SUM(C6:C12)</f>
        <v>150313.323</v>
      </c>
    </row>
    <row r="15" customFormat="false" ht="15" hidden="false" customHeight="true" outlineLevel="0" collapsed="false">
      <c r="A15" s="13" t="s">
        <v>49</v>
      </c>
      <c r="B15" s="14" t="n">
        <f aca="false">B4-B13</f>
        <v>5335.13975</v>
      </c>
      <c r="C15" s="14" t="n">
        <f aca="false">C4-C13</f>
        <v>64021.677</v>
      </c>
    </row>
    <row r="16" customFormat="false" ht="15" hidden="false" customHeight="true" outlineLevel="0" collapsed="false">
      <c r="A16" s="4" t="s">
        <v>50</v>
      </c>
      <c r="B16" s="21" t="n">
        <f aca="false">B15/B4</f>
        <v>0.298699125201204</v>
      </c>
      <c r="C16" s="12" t="n">
        <f aca="false">C15/C4</f>
        <v>0.298699125201204</v>
      </c>
    </row>
    <row r="18" customFormat="false" ht="39.75" hidden="false" customHeight="true" outlineLevel="0" collapsed="false">
      <c r="A18" s="15" t="s">
        <v>51</v>
      </c>
      <c r="B18" s="15"/>
      <c r="C18" s="15"/>
    </row>
  </sheetData>
  <mergeCells count="2">
    <mergeCell ref="A1:C1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2" t="s">
        <v>52</v>
      </c>
      <c r="B1" s="2"/>
      <c r="C1" s="2"/>
      <c r="D1" s="2"/>
    </row>
    <row r="3" customFormat="false" ht="15" hidden="false" customHeight="true" outlineLevel="0" collapsed="false">
      <c r="B3" s="22" t="s">
        <v>14</v>
      </c>
      <c r="C3" s="22" t="s">
        <v>53</v>
      </c>
      <c r="D3" s="22" t="s">
        <v>54</v>
      </c>
    </row>
    <row r="4" customFormat="false" ht="15" hidden="false" customHeight="true" outlineLevel="0" collapsed="false">
      <c r="A4" s="13" t="s">
        <v>39</v>
      </c>
      <c r="B4" s="23" t="n">
        <f aca="false">Drivers!B4*Drivers!B18*Drivers!B7*Drivers!B8</f>
        <v>17861.25</v>
      </c>
      <c r="C4" s="17" t="n">
        <f aca="false">B4</f>
        <v>17861.25</v>
      </c>
      <c r="D4" s="17" t="n">
        <f aca="false">C4-B4</f>
        <v>0</v>
      </c>
    </row>
    <row r="5" customFormat="false" ht="15" hidden="false" customHeight="true" outlineLevel="0" collapsed="false">
      <c r="A5" s="4" t="s">
        <v>41</v>
      </c>
      <c r="B5" s="20" t="n">
        <f aca="false">B4*Drivers!B9</f>
        <v>5715.6</v>
      </c>
      <c r="C5" s="20" t="n">
        <f aca="false">C4*Drivers!B9</f>
        <v>5715.6</v>
      </c>
    </row>
    <row r="6" customFormat="false" ht="15" hidden="false" customHeight="true" outlineLevel="0" collapsed="false">
      <c r="A6" s="4" t="s">
        <v>42</v>
      </c>
      <c r="B6" s="20" t="n">
        <f aca="false">B5*Drivers!B10</f>
        <v>800.184</v>
      </c>
      <c r="C6" s="20" t="n">
        <f aca="false">C5*Drivers!B10</f>
        <v>800.184</v>
      </c>
    </row>
    <row r="7" customFormat="false" ht="15" hidden="false" customHeight="true" outlineLevel="0" collapsed="false">
      <c r="A7" s="4" t="s">
        <v>43</v>
      </c>
      <c r="B7" s="20" t="n">
        <f aca="false">B4*Drivers!B11</f>
        <v>517.97625</v>
      </c>
      <c r="C7" s="20" t="n">
        <f aca="false">C4*Drivers!B11</f>
        <v>517.97625</v>
      </c>
    </row>
    <row r="8" customFormat="false" ht="15" hidden="false" customHeight="true" outlineLevel="0" collapsed="false">
      <c r="A8" s="4" t="s">
        <v>44</v>
      </c>
      <c r="B8" s="20" t="n">
        <f aca="false">B4*Drivers!B12</f>
        <v>2143.35</v>
      </c>
      <c r="C8" s="20" t="n">
        <f aca="false">C4*Drivers!B12</f>
        <v>2143.35</v>
      </c>
    </row>
    <row r="9" customFormat="false" ht="15" hidden="false" customHeight="true" outlineLevel="0" collapsed="false">
      <c r="A9" s="4" t="s">
        <v>45</v>
      </c>
      <c r="B9" s="20" t="n">
        <f aca="false">Drivers!B19*Drivers!B8*Drivers!B13</f>
        <v>1299</v>
      </c>
      <c r="C9" s="20" t="n">
        <f aca="false">B9</f>
        <v>1299</v>
      </c>
    </row>
    <row r="10" customFormat="false" ht="15" hidden="false" customHeight="true" outlineLevel="0" collapsed="false">
      <c r="A10" s="13" t="s">
        <v>55</v>
      </c>
      <c r="B10" s="14" t="n">
        <f aca="false">SUM(B5:B9)</f>
        <v>10476.11025</v>
      </c>
      <c r="C10" s="14" t="n">
        <f aca="false">SUM(C5:C9)</f>
        <v>10476.11025</v>
      </c>
    </row>
    <row r="12" customFormat="false" ht="15" hidden="false" customHeight="true" outlineLevel="0" collapsed="false">
      <c r="A12" s="3" t="s">
        <v>56</v>
      </c>
      <c r="B12" s="3"/>
      <c r="C12" s="3"/>
      <c r="D12" s="3"/>
    </row>
    <row r="13" customFormat="false" ht="15" hidden="false" customHeight="true" outlineLevel="0" collapsed="false">
      <c r="A13" s="4" t="s">
        <v>20</v>
      </c>
      <c r="B13" s="20" t="n">
        <f aca="false">Drivers!B23</f>
        <v>650</v>
      </c>
      <c r="C13" s="20" t="n">
        <f aca="false">Drivers!B34</f>
        <v>750</v>
      </c>
    </row>
    <row r="14" customFormat="false" ht="15" hidden="false" customHeight="true" outlineLevel="0" collapsed="false">
      <c r="A14" s="4" t="s">
        <v>21</v>
      </c>
      <c r="B14" s="20" t="n">
        <f aca="false">Drivers!B24</f>
        <v>220</v>
      </c>
      <c r="C14" s="20" t="n">
        <f aca="false">Drivers!B35</f>
        <v>300</v>
      </c>
    </row>
    <row r="15" customFormat="false" ht="15" hidden="false" customHeight="true" outlineLevel="0" collapsed="false">
      <c r="A15" s="4" t="s">
        <v>22</v>
      </c>
      <c r="B15" s="20" t="n">
        <f aca="false">Drivers!B25</f>
        <v>150</v>
      </c>
      <c r="C15" s="20" t="n">
        <f aca="false">Drivers!B36</f>
        <v>150</v>
      </c>
    </row>
    <row r="16" customFormat="false" ht="15" hidden="false" customHeight="true" outlineLevel="0" collapsed="false">
      <c r="A16" s="4" t="s">
        <v>57</v>
      </c>
      <c r="B16" s="20" t="n">
        <f aca="false">Drivers!B26</f>
        <v>400</v>
      </c>
      <c r="C16" s="20" t="n">
        <f aca="false">Drivers!B37</f>
        <v>80</v>
      </c>
    </row>
    <row r="17" customFormat="false" ht="15" hidden="false" customHeight="true" outlineLevel="0" collapsed="false">
      <c r="A17" s="4" t="s">
        <v>24</v>
      </c>
      <c r="B17" s="20" t="n">
        <f aca="false">Drivers!B27</f>
        <v>200</v>
      </c>
      <c r="C17" s="20" t="n">
        <f aca="false">Drivers!B38</f>
        <v>200</v>
      </c>
    </row>
    <row r="18" customFormat="false" ht="15" hidden="false" customHeight="true" outlineLevel="0" collapsed="false">
      <c r="A18" s="4" t="s">
        <v>25</v>
      </c>
      <c r="B18" s="20" t="n">
        <f aca="false">Drivers!B28</f>
        <v>80</v>
      </c>
      <c r="C18" s="20" t="n">
        <f aca="false">Drivers!B39</f>
        <v>80</v>
      </c>
    </row>
    <row r="19" customFormat="false" ht="15" hidden="false" customHeight="true" outlineLevel="0" collapsed="false">
      <c r="A19" s="4" t="s">
        <v>26</v>
      </c>
      <c r="B19" s="20" t="n">
        <f aca="false">Drivers!B29</f>
        <v>150</v>
      </c>
      <c r="C19" s="20" t="n">
        <f aca="false">Drivers!B40</f>
        <v>150</v>
      </c>
    </row>
    <row r="20" customFormat="false" ht="15" hidden="false" customHeight="true" outlineLevel="0" collapsed="false">
      <c r="A20" s="4" t="s">
        <v>27</v>
      </c>
      <c r="B20" s="20" t="n">
        <f aca="false">Drivers!B30</f>
        <v>200</v>
      </c>
      <c r="C20" s="20" t="n">
        <f aca="false">Drivers!B41</f>
        <v>200</v>
      </c>
    </row>
    <row r="21" customFormat="false" ht="15" hidden="false" customHeight="true" outlineLevel="0" collapsed="false">
      <c r="A21" s="13" t="s">
        <v>58</v>
      </c>
      <c r="B21" s="14" t="n">
        <f aca="false">SUM(B13:B20)*Drivers!B8</f>
        <v>2050</v>
      </c>
      <c r="C21" s="14" t="n">
        <f aca="false">SUM(C13:C20)*Drivers!B8</f>
        <v>1910</v>
      </c>
      <c r="D21" s="17" t="n">
        <f aca="false">C21-B21</f>
        <v>-140</v>
      </c>
    </row>
    <row r="22" customFormat="false" ht="15" hidden="false" customHeight="true" outlineLevel="0" collapsed="false">
      <c r="A22" s="4" t="s">
        <v>47</v>
      </c>
      <c r="B22" s="20" t="n">
        <f aca="false">Drivers!B14</f>
        <v>0</v>
      </c>
      <c r="C22" s="20" t="n">
        <f aca="false">Drivers!B14</f>
        <v>0</v>
      </c>
    </row>
    <row r="23" customFormat="false" ht="15" hidden="false" customHeight="true" outlineLevel="0" collapsed="false">
      <c r="A23" s="13" t="s">
        <v>48</v>
      </c>
      <c r="B23" s="14" t="n">
        <f aca="false">B10+B21+B22</f>
        <v>12526.11025</v>
      </c>
      <c r="C23" s="14" t="n">
        <f aca="false">C10+C21+C22</f>
        <v>12386.11025</v>
      </c>
      <c r="D23" s="14" t="n">
        <f aca="false">C23-B23</f>
        <v>-140</v>
      </c>
    </row>
    <row r="25" customFormat="false" ht="15" hidden="false" customHeight="true" outlineLevel="0" collapsed="false">
      <c r="A25" s="13" t="s">
        <v>59</v>
      </c>
      <c r="B25" s="14" t="n">
        <f aca="false">B4-B23</f>
        <v>5335.13975</v>
      </c>
      <c r="C25" s="14" t="n">
        <f aca="false">C4-C23</f>
        <v>5475.13975</v>
      </c>
      <c r="D25" s="14" t="n">
        <f aca="false">C25-B25</f>
        <v>140</v>
      </c>
    </row>
    <row r="26" customFormat="false" ht="15" hidden="false" customHeight="true" outlineLevel="0" collapsed="false">
      <c r="A26" s="4" t="s">
        <v>50</v>
      </c>
      <c r="B26" s="12" t="n">
        <f aca="false">B25/B4</f>
        <v>0.298699125201204</v>
      </c>
      <c r="C26" s="12" t="n">
        <f aca="false">C25/C4</f>
        <v>0.306537322415844</v>
      </c>
    </row>
    <row r="28" customFormat="false" ht="15" hidden="false" customHeight="true" outlineLevel="0" collapsed="false">
      <c r="A28" s="3" t="s">
        <v>60</v>
      </c>
      <c r="B28" s="3"/>
      <c r="C28" s="3"/>
      <c r="D28" s="3"/>
    </row>
    <row r="29" customFormat="false" ht="15" hidden="false" customHeight="true" outlineLevel="0" collapsed="false">
      <c r="B29" s="22" t="s">
        <v>14</v>
      </c>
      <c r="C29" s="22" t="s">
        <v>53</v>
      </c>
      <c r="D29" s="22" t="s">
        <v>54</v>
      </c>
    </row>
    <row r="30" customFormat="false" ht="27.75" hidden="false" customHeight="true" outlineLevel="0" collapsed="false">
      <c r="A30" s="24" t="s">
        <v>61</v>
      </c>
      <c r="B30" s="25" t="n">
        <v>5000</v>
      </c>
      <c r="C30" s="25" t="n">
        <v>5500</v>
      </c>
      <c r="D30" s="20" t="n">
        <f aca="false">C30-B30</f>
        <v>500</v>
      </c>
    </row>
    <row r="31" customFormat="false" ht="15" hidden="false" customHeight="true" outlineLevel="0" collapsed="false">
      <c r="A31" s="24" t="s">
        <v>62</v>
      </c>
      <c r="B31" s="25" t="n">
        <v>1500</v>
      </c>
      <c r="C31" s="25" t="n">
        <v>2000</v>
      </c>
      <c r="D31" s="20" t="n">
        <f aca="false">C31-B31</f>
        <v>500</v>
      </c>
    </row>
    <row r="32" customFormat="false" ht="15" hidden="false" customHeight="true" outlineLevel="0" collapsed="false">
      <c r="A32" s="24" t="s">
        <v>63</v>
      </c>
      <c r="B32" s="25" t="n">
        <v>600</v>
      </c>
      <c r="C32" s="25" t="n">
        <v>700</v>
      </c>
      <c r="D32" s="20" t="n">
        <f aca="false">C32-B32</f>
        <v>100</v>
      </c>
    </row>
    <row r="33" customFormat="false" ht="15" hidden="false" customHeight="true" outlineLevel="0" collapsed="false">
      <c r="A33" s="24" t="s">
        <v>64</v>
      </c>
      <c r="B33" s="25" t="n">
        <v>800</v>
      </c>
      <c r="C33" s="25" t="n">
        <v>800</v>
      </c>
      <c r="D33" s="20" t="n">
        <f aca="false">C33-B33</f>
        <v>0</v>
      </c>
    </row>
    <row r="34" customFormat="false" ht="15" hidden="false" customHeight="true" outlineLevel="0" collapsed="false">
      <c r="A34" s="24" t="s">
        <v>65</v>
      </c>
      <c r="B34" s="25" t="n">
        <v>600</v>
      </c>
      <c r="C34" s="25" t="n">
        <v>600</v>
      </c>
      <c r="D34" s="20" t="n">
        <f aca="false">C34-B34</f>
        <v>0</v>
      </c>
    </row>
    <row r="35" customFormat="false" ht="15" hidden="false" customHeight="true" outlineLevel="0" collapsed="false">
      <c r="A35" s="24" t="s">
        <v>66</v>
      </c>
      <c r="B35" s="25" t="n">
        <v>150</v>
      </c>
      <c r="C35" s="25" t="n">
        <v>150</v>
      </c>
      <c r="D35" s="20" t="n">
        <f aca="false">C35-B35</f>
        <v>0</v>
      </c>
    </row>
    <row r="36" customFormat="false" ht="15" hidden="false" customHeight="true" outlineLevel="0" collapsed="false">
      <c r="A36" s="24" t="s">
        <v>67</v>
      </c>
      <c r="B36" s="25" t="n">
        <v>4000</v>
      </c>
      <c r="C36" s="25" t="n">
        <v>4000</v>
      </c>
      <c r="D36" s="20" t="n">
        <f aca="false">C36-B36</f>
        <v>0</v>
      </c>
    </row>
    <row r="37" customFormat="false" ht="15" hidden="false" customHeight="true" outlineLevel="0" collapsed="false">
      <c r="A37" s="24" t="s">
        <v>68</v>
      </c>
      <c r="B37" s="25" t="n">
        <v>1300</v>
      </c>
      <c r="C37" s="25" t="n">
        <v>1400</v>
      </c>
      <c r="D37" s="20" t="n">
        <f aca="false">C37-B37</f>
        <v>100</v>
      </c>
    </row>
    <row r="38" customFormat="false" ht="15" hidden="false" customHeight="true" outlineLevel="0" collapsed="false">
      <c r="A38" s="13" t="s">
        <v>69</v>
      </c>
      <c r="B38" s="14" t="n">
        <f aca="false">SUM(B30:B37)</f>
        <v>13950</v>
      </c>
      <c r="C38" s="14" t="n">
        <f aca="false">SUM(C30:C37)</f>
        <v>15150</v>
      </c>
      <c r="D38" s="14" t="n">
        <f aca="false">C38-B38</f>
        <v>1200</v>
      </c>
    </row>
    <row r="40" customFormat="false" ht="15" hidden="false" customHeight="true" outlineLevel="0" collapsed="false">
      <c r="A40" s="3" t="s">
        <v>70</v>
      </c>
      <c r="B40" s="3"/>
      <c r="C40" s="3"/>
      <c r="D40" s="3"/>
    </row>
    <row r="41" customFormat="false" ht="15" hidden="false" customHeight="true" outlineLevel="0" collapsed="false">
      <c r="A41" s="13" t="s">
        <v>14</v>
      </c>
    </row>
    <row r="42" customFormat="false" ht="39.75" hidden="false" customHeight="true" outlineLevel="0" collapsed="false">
      <c r="A42" s="15" t="s">
        <v>71</v>
      </c>
      <c r="B42" s="15"/>
      <c r="C42" s="15"/>
      <c r="D42" s="15"/>
    </row>
    <row r="43" customFormat="false" ht="15" hidden="false" customHeight="true" outlineLevel="0" collapsed="false">
      <c r="A43" s="13" t="s">
        <v>53</v>
      </c>
    </row>
    <row r="44" customFormat="false" ht="54.75" hidden="false" customHeight="true" outlineLevel="0" collapsed="false">
      <c r="A44" s="15" t="s">
        <v>72</v>
      </c>
      <c r="B44" s="15"/>
      <c r="C44" s="15"/>
      <c r="D44" s="15"/>
    </row>
  </sheetData>
  <mergeCells count="6">
    <mergeCell ref="A1:D1"/>
    <mergeCell ref="A12:D12"/>
    <mergeCell ref="A28:D28"/>
    <mergeCell ref="A40:D40"/>
    <mergeCell ref="A42:D42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3"/>
  </cols>
  <sheetData>
    <row r="1" customFormat="false" ht="25.5" hidden="false" customHeight="true" outlineLevel="0" collapsed="false">
      <c r="A1" s="2" t="s">
        <v>73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74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26" t="s">
        <v>75</v>
      </c>
      <c r="B4" s="27" t="n">
        <v>130</v>
      </c>
      <c r="C4" s="27" t="n">
        <v>150</v>
      </c>
      <c r="D4" s="27" t="n">
        <v>165</v>
      </c>
      <c r="E4" s="27" t="n">
        <v>185</v>
      </c>
      <c r="F4" s="27" t="n">
        <v>205</v>
      </c>
    </row>
    <row r="5" customFormat="false" ht="15" hidden="false" customHeight="true" outlineLevel="0" collapsed="false">
      <c r="A5" s="28" t="n">
        <v>3</v>
      </c>
      <c r="B5" s="20" t="n">
        <f aca="false">($A5*Drivers!$B$18*B$4)-($A5*Drivers!$B$18*B$4*Drivers!$B$20)-($A5*Drivers!$B$18*Drivers!$B$13)-Drivers!$B$44</f>
        <v>1275.8297</v>
      </c>
      <c r="C5" s="20" t="n">
        <f aca="false">($A5*Drivers!$B$18*C$4)-($A5*Drivers!$B$18*C$4*Drivers!$B$20)-($A5*Drivers!$B$18*Drivers!$B$13)-Drivers!$B$44</f>
        <v>1907.4035</v>
      </c>
      <c r="D5" s="20" t="n">
        <f aca="false">($A5*Drivers!$B$18*D$4)-($A5*Drivers!$B$18*D$4*Drivers!$B$20)-($A5*Drivers!$B$18*Drivers!$B$13)-Drivers!$B$44</f>
        <v>2381.08385</v>
      </c>
      <c r="E5" s="20" t="n">
        <f aca="false">($A5*Drivers!$B$18*E$4)-($A5*Drivers!$B$18*E$4*Drivers!$B$20)-($A5*Drivers!$B$18*Drivers!$B$13)-Drivers!$B$44</f>
        <v>3012.65765</v>
      </c>
      <c r="F5" s="20" t="n">
        <f aca="false">($A5*Drivers!$B$18*F$4)-($A5*Drivers!$B$18*F$4*Drivers!$B$20)-($A5*Drivers!$B$18*Drivers!$B$13)-Drivers!$B$44</f>
        <v>3644.23145</v>
      </c>
    </row>
    <row r="6" customFormat="false" ht="15" hidden="false" customHeight="true" outlineLevel="0" collapsed="false">
      <c r="A6" s="28" t="n">
        <v>4</v>
      </c>
      <c r="B6" s="20" t="n">
        <f aca="false">($A6*Drivers!$B$18*B$4)-($A6*Drivers!$B$18*B$4*Drivers!$B$20)-($A6*Drivers!$B$18*Drivers!$B$13)-Drivers!$B$44</f>
        <v>2384.4396</v>
      </c>
      <c r="C6" s="20" t="n">
        <f aca="false">($A6*Drivers!$B$18*C$4)-($A6*Drivers!$B$18*C$4*Drivers!$B$20)-($A6*Drivers!$B$18*Drivers!$B$13)-Drivers!$B$44</f>
        <v>3226.538</v>
      </c>
      <c r="D6" s="20" t="n">
        <f aca="false">($A6*Drivers!$B$18*D$4)-($A6*Drivers!$B$18*D$4*Drivers!$B$20)-($A6*Drivers!$B$18*Drivers!$B$13)-Drivers!$B$44</f>
        <v>3858.1118</v>
      </c>
      <c r="E6" s="20" t="n">
        <f aca="false">($A6*Drivers!$B$18*E$4)-($A6*Drivers!$B$18*E$4*Drivers!$B$20)-($A6*Drivers!$B$18*Drivers!$B$13)-Drivers!$B$44</f>
        <v>4700.2102</v>
      </c>
      <c r="F6" s="20" t="n">
        <f aca="false">($A6*Drivers!$B$18*F$4)-($A6*Drivers!$B$18*F$4*Drivers!$B$20)-($A6*Drivers!$B$18*Drivers!$B$13)-Drivers!$B$44</f>
        <v>5542.3086</v>
      </c>
    </row>
    <row r="7" customFormat="false" ht="15" hidden="false" customHeight="true" outlineLevel="0" collapsed="false">
      <c r="A7" s="28" t="n">
        <v>5</v>
      </c>
      <c r="B7" s="20" t="n">
        <f aca="false">($A7*Drivers!$B$18*B$4)-($A7*Drivers!$B$18*B$4*Drivers!$B$20)-($A7*Drivers!$B$18*Drivers!$B$13)-Drivers!$B$44</f>
        <v>3493.0495</v>
      </c>
      <c r="C7" s="20" t="n">
        <f aca="false">($A7*Drivers!$B$18*C$4)-($A7*Drivers!$B$18*C$4*Drivers!$B$20)-($A7*Drivers!$B$18*Drivers!$B$13)-Drivers!$B$44</f>
        <v>4545.6725</v>
      </c>
      <c r="D7" s="20" t="n">
        <f aca="false">($A7*Drivers!$B$18*D$4)-($A7*Drivers!$B$18*D$4*Drivers!$B$20)-($A7*Drivers!$B$18*Drivers!$B$13)-Drivers!$B$44</f>
        <v>5335.13975</v>
      </c>
      <c r="E7" s="20" t="n">
        <f aca="false">($A7*Drivers!$B$18*E$4)-($A7*Drivers!$B$18*E$4*Drivers!$B$20)-($A7*Drivers!$B$18*Drivers!$B$13)-Drivers!$B$44</f>
        <v>6387.76275</v>
      </c>
      <c r="F7" s="20" t="n">
        <f aca="false">($A7*Drivers!$B$18*F$4)-($A7*Drivers!$B$18*F$4*Drivers!$B$20)-($A7*Drivers!$B$18*Drivers!$B$13)-Drivers!$B$44</f>
        <v>7440.38575</v>
      </c>
    </row>
    <row r="8" customFormat="false" ht="15" hidden="false" customHeight="true" outlineLevel="0" collapsed="false">
      <c r="A8" s="28" t="n">
        <v>6</v>
      </c>
      <c r="B8" s="20" t="n">
        <f aca="false">($A8*Drivers!$B$18*B$4)-($A8*Drivers!$B$18*B$4*Drivers!$B$20)-($A8*Drivers!$B$18*Drivers!$B$13)-Drivers!$B$44</f>
        <v>4601.6594</v>
      </c>
      <c r="C8" s="20" t="n">
        <f aca="false">($A8*Drivers!$B$18*C$4)-($A8*Drivers!$B$18*C$4*Drivers!$B$20)-($A8*Drivers!$B$18*Drivers!$B$13)-Drivers!$B$44</f>
        <v>5864.807</v>
      </c>
      <c r="D8" s="20" t="n">
        <f aca="false">($A8*Drivers!$B$18*D$4)-($A8*Drivers!$B$18*D$4*Drivers!$B$20)-($A8*Drivers!$B$18*Drivers!$B$13)-Drivers!$B$44</f>
        <v>6812.1677</v>
      </c>
      <c r="E8" s="20" t="n">
        <f aca="false">($A8*Drivers!$B$18*E$4)-($A8*Drivers!$B$18*E$4*Drivers!$B$20)-($A8*Drivers!$B$18*Drivers!$B$13)-Drivers!$B$44</f>
        <v>8075.3153</v>
      </c>
      <c r="F8" s="20" t="n">
        <f aca="false">($A8*Drivers!$B$18*F$4)-($A8*Drivers!$B$18*F$4*Drivers!$B$20)-($A8*Drivers!$B$18*Drivers!$B$13)-Drivers!$B$44</f>
        <v>9338.4629</v>
      </c>
    </row>
    <row r="9" customFormat="false" ht="15" hidden="false" customHeight="true" outlineLevel="0" collapsed="false">
      <c r="A9" s="28" t="n">
        <v>7</v>
      </c>
      <c r="B9" s="20" t="n">
        <f aca="false">($A9*Drivers!$B$18*B$4)-($A9*Drivers!$B$18*B$4*Drivers!$B$20)-($A9*Drivers!$B$18*Drivers!$B$13)-Drivers!$B$44</f>
        <v>5710.2693</v>
      </c>
      <c r="C9" s="20" t="n">
        <f aca="false">($A9*Drivers!$B$18*C$4)-($A9*Drivers!$B$18*C$4*Drivers!$B$20)-($A9*Drivers!$B$18*Drivers!$B$13)-Drivers!$B$44</f>
        <v>7183.9415</v>
      </c>
      <c r="D9" s="20" t="n">
        <f aca="false">($A9*Drivers!$B$18*D$4)-($A9*Drivers!$B$18*D$4*Drivers!$B$20)-($A9*Drivers!$B$18*Drivers!$B$13)-Drivers!$B$44</f>
        <v>8289.19565</v>
      </c>
      <c r="E9" s="20" t="n">
        <f aca="false">($A9*Drivers!$B$18*E$4)-($A9*Drivers!$B$18*E$4*Drivers!$B$20)-($A9*Drivers!$B$18*Drivers!$B$13)-Drivers!$B$44</f>
        <v>9762.86785</v>
      </c>
      <c r="F9" s="20" t="n">
        <f aca="false">($A9*Drivers!$B$18*F$4)-($A9*Drivers!$B$18*F$4*Drivers!$B$20)-($A9*Drivers!$B$18*Drivers!$B$13)-Drivers!$B$44</f>
        <v>11236.54005</v>
      </c>
    </row>
    <row r="10" customFormat="false" ht="15" hidden="false" customHeight="true" outlineLevel="0" collapsed="false">
      <c r="A10" s="28" t="n">
        <v>8</v>
      </c>
      <c r="B10" s="20" t="n">
        <f aca="false">($A10*Drivers!$B$18*B$4)-($A10*Drivers!$B$18*B$4*Drivers!$B$20)-($A10*Drivers!$B$18*Drivers!$B$13)-Drivers!$B$44</f>
        <v>6818.8792</v>
      </c>
      <c r="C10" s="20" t="n">
        <f aca="false">($A10*Drivers!$B$18*C$4)-($A10*Drivers!$B$18*C$4*Drivers!$B$20)-($A10*Drivers!$B$18*Drivers!$B$13)-Drivers!$B$44</f>
        <v>8503.076</v>
      </c>
      <c r="D10" s="20" t="n">
        <f aca="false">($A10*Drivers!$B$18*D$4)-($A10*Drivers!$B$18*D$4*Drivers!$B$20)-($A10*Drivers!$B$18*Drivers!$B$13)-Drivers!$B$44</f>
        <v>9766.2236</v>
      </c>
      <c r="E10" s="20" t="n">
        <f aca="false">($A10*Drivers!$B$18*E$4)-($A10*Drivers!$B$18*E$4*Drivers!$B$20)-($A10*Drivers!$B$18*Drivers!$B$13)-Drivers!$B$44</f>
        <v>11450.4204</v>
      </c>
      <c r="F10" s="20" t="n">
        <f aca="false">($A10*Drivers!$B$18*F$4)-($A10*Drivers!$B$18*F$4*Drivers!$B$20)-($A10*Drivers!$B$18*Drivers!$B$13)-Drivers!$B$44</f>
        <v>13134.6172</v>
      </c>
    </row>
    <row r="12" customFormat="false" ht="15" hidden="false" customHeight="true" outlineLevel="0" collapsed="false">
      <c r="A12" s="3" t="s">
        <v>76</v>
      </c>
      <c r="B12" s="3"/>
      <c r="C12" s="3"/>
      <c r="D12" s="3"/>
      <c r="E12" s="3"/>
      <c r="F12" s="3"/>
    </row>
    <row r="13" customFormat="false" ht="15" hidden="false" customHeight="true" outlineLevel="0" collapsed="false">
      <c r="A13" s="26" t="s">
        <v>75</v>
      </c>
      <c r="B13" s="27" t="n">
        <v>130</v>
      </c>
      <c r="C13" s="27" t="n">
        <v>150</v>
      </c>
      <c r="D13" s="27" t="n">
        <v>165</v>
      </c>
      <c r="E13" s="27" t="n">
        <v>185</v>
      </c>
      <c r="F13" s="27" t="n">
        <v>205</v>
      </c>
    </row>
    <row r="14" customFormat="false" ht="15" hidden="false" customHeight="true" outlineLevel="0" collapsed="false">
      <c r="A14" s="28" t="n">
        <v>3</v>
      </c>
      <c r="B14" s="20" t="n">
        <f aca="false">B5*12</f>
        <v>15309.9564</v>
      </c>
      <c r="C14" s="20" t="n">
        <f aca="false">C5*12</f>
        <v>22888.842</v>
      </c>
      <c r="D14" s="20" t="n">
        <f aca="false">D5*12</f>
        <v>28573.0062</v>
      </c>
      <c r="E14" s="20" t="n">
        <f aca="false">E5*12</f>
        <v>36151.8918</v>
      </c>
      <c r="F14" s="20" t="n">
        <f aca="false">F5*12</f>
        <v>43730.7774</v>
      </c>
    </row>
    <row r="15" customFormat="false" ht="15" hidden="false" customHeight="true" outlineLevel="0" collapsed="false">
      <c r="A15" s="28" t="n">
        <v>4</v>
      </c>
      <c r="B15" s="20" t="n">
        <f aca="false">B6*12</f>
        <v>28613.2752</v>
      </c>
      <c r="C15" s="20" t="n">
        <f aca="false">C6*12</f>
        <v>38718.456</v>
      </c>
      <c r="D15" s="20" t="n">
        <f aca="false">D6*12</f>
        <v>46297.3416</v>
      </c>
      <c r="E15" s="20" t="n">
        <f aca="false">E6*12</f>
        <v>56402.5224</v>
      </c>
      <c r="F15" s="20" t="n">
        <f aca="false">F6*12</f>
        <v>66507.7032</v>
      </c>
    </row>
    <row r="16" customFormat="false" ht="15" hidden="false" customHeight="true" outlineLevel="0" collapsed="false">
      <c r="A16" s="28" t="n">
        <v>5</v>
      </c>
      <c r="B16" s="20" t="n">
        <f aca="false">B7*12</f>
        <v>41916.594</v>
      </c>
      <c r="C16" s="20" t="n">
        <f aca="false">C7*12</f>
        <v>54548.07</v>
      </c>
      <c r="D16" s="20" t="n">
        <f aca="false">D7*12</f>
        <v>64021.677</v>
      </c>
      <c r="E16" s="20" t="n">
        <f aca="false">E7*12</f>
        <v>76653.153</v>
      </c>
      <c r="F16" s="20" t="n">
        <f aca="false">F7*12</f>
        <v>89284.629</v>
      </c>
    </row>
    <row r="17" customFormat="false" ht="15" hidden="false" customHeight="true" outlineLevel="0" collapsed="false">
      <c r="A17" s="28" t="n">
        <v>6</v>
      </c>
      <c r="B17" s="20" t="n">
        <f aca="false">B8*12</f>
        <v>55219.9128</v>
      </c>
      <c r="C17" s="20" t="n">
        <f aca="false">C8*12</f>
        <v>70377.684</v>
      </c>
      <c r="D17" s="20" t="n">
        <f aca="false">D8*12</f>
        <v>81746.0124</v>
      </c>
      <c r="E17" s="20" t="n">
        <f aca="false">E8*12</f>
        <v>96903.7836</v>
      </c>
      <c r="F17" s="20" t="n">
        <f aca="false">F8*12</f>
        <v>112061.5548</v>
      </c>
    </row>
    <row r="18" customFormat="false" ht="15" hidden="false" customHeight="true" outlineLevel="0" collapsed="false">
      <c r="A18" s="28" t="n">
        <v>7</v>
      </c>
      <c r="B18" s="20" t="n">
        <f aca="false">B9*12</f>
        <v>68523.2316</v>
      </c>
      <c r="C18" s="20" t="n">
        <f aca="false">C9*12</f>
        <v>86207.298</v>
      </c>
      <c r="D18" s="20" t="n">
        <f aca="false">D9*12</f>
        <v>99470.3478</v>
      </c>
      <c r="E18" s="20" t="n">
        <f aca="false">E9*12</f>
        <v>117154.4142</v>
      </c>
      <c r="F18" s="20" t="n">
        <f aca="false">F9*12</f>
        <v>134838.4806</v>
      </c>
    </row>
    <row r="19" customFormat="false" ht="15" hidden="false" customHeight="true" outlineLevel="0" collapsed="false">
      <c r="A19" s="28" t="n">
        <v>8</v>
      </c>
      <c r="B19" s="20" t="n">
        <f aca="false">B10*12</f>
        <v>81826.5504</v>
      </c>
      <c r="C19" s="20" t="n">
        <f aca="false">C10*12</f>
        <v>102036.912</v>
      </c>
      <c r="D19" s="20" t="n">
        <f aca="false">D10*12</f>
        <v>117194.6832</v>
      </c>
      <c r="E19" s="20" t="n">
        <f aca="false">E10*12</f>
        <v>137405.0448</v>
      </c>
      <c r="F19" s="20" t="n">
        <f aca="false">F10*12</f>
        <v>157615.4064</v>
      </c>
    </row>
    <row r="21" customFormat="false" ht="15" hidden="false" customHeight="true" outlineLevel="0" collapsed="false">
      <c r="A21" s="3" t="s">
        <v>77</v>
      </c>
      <c r="B21" s="3"/>
      <c r="C21" s="3"/>
      <c r="D21" s="3"/>
      <c r="E21" s="3"/>
      <c r="F21" s="3"/>
    </row>
    <row r="22" customFormat="false" ht="15" hidden="false" customHeight="true" outlineLevel="0" collapsed="false">
      <c r="A22" s="26" t="s">
        <v>78</v>
      </c>
      <c r="B22" s="29" t="n">
        <v>3</v>
      </c>
      <c r="C22" s="29" t="n">
        <v>4</v>
      </c>
      <c r="D22" s="29" t="n">
        <v>5</v>
      </c>
      <c r="E22" s="29" t="n">
        <v>6</v>
      </c>
      <c r="F22" s="29" t="n">
        <v>7</v>
      </c>
    </row>
    <row r="23" customFormat="false" ht="15" hidden="false" customHeight="true" outlineLevel="0" collapsed="false">
      <c r="A23" s="28" t="n">
        <v>1</v>
      </c>
      <c r="B23" s="20" t="n">
        <f aca="false">$A23*((B$22*Drivers!$B$18*Drivers!$B$7)-(B$22*Drivers!$B$18*Drivers!$B$7*Drivers!$B$20)-(B$22*Drivers!$B$18*Drivers!$B$13)-Drivers!$B$44)</f>
        <v>2381.08385</v>
      </c>
      <c r="C23" s="20" t="n">
        <f aca="false">$A23*((C$22*Drivers!$B$18*Drivers!$B$7)-(C$22*Drivers!$B$18*Drivers!$B$7*Drivers!$B$20)-(C$22*Drivers!$B$18*Drivers!$B$13)-Drivers!$B$44)</f>
        <v>3858.1118</v>
      </c>
      <c r="D23" s="20" t="n">
        <f aca="false">$A23*((D$22*Drivers!$B$18*Drivers!$B$7)-(D$22*Drivers!$B$18*Drivers!$B$7*Drivers!$B$20)-(D$22*Drivers!$B$18*Drivers!$B$13)-Drivers!$B$44)</f>
        <v>5335.13975</v>
      </c>
      <c r="E23" s="20" t="n">
        <f aca="false">$A23*((E$22*Drivers!$B$18*Drivers!$B$7)-(E$22*Drivers!$B$18*Drivers!$B$7*Drivers!$B$20)-(E$22*Drivers!$B$18*Drivers!$B$13)-Drivers!$B$44)</f>
        <v>6812.1677</v>
      </c>
      <c r="F23" s="20" t="n">
        <f aca="false">$A23*((F$22*Drivers!$B$18*Drivers!$B$7)-(F$22*Drivers!$B$18*Drivers!$B$7*Drivers!$B$20)-(F$22*Drivers!$B$18*Drivers!$B$13)-Drivers!$B$44)</f>
        <v>8289.19565</v>
      </c>
    </row>
    <row r="24" customFormat="false" ht="15" hidden="false" customHeight="true" outlineLevel="0" collapsed="false">
      <c r="A24" s="28" t="n">
        <v>2</v>
      </c>
      <c r="B24" s="20" t="n">
        <f aca="false">$A24*((B$22*Drivers!$B$18*Drivers!$B$7)-(B$22*Drivers!$B$18*Drivers!$B$7*Drivers!$B$20)-(B$22*Drivers!$B$18*Drivers!$B$13)-Drivers!$B$44)</f>
        <v>4762.1677</v>
      </c>
      <c r="C24" s="20" t="n">
        <f aca="false">$A24*((C$22*Drivers!$B$18*Drivers!$B$7)-(C$22*Drivers!$B$18*Drivers!$B$7*Drivers!$B$20)-(C$22*Drivers!$B$18*Drivers!$B$13)-Drivers!$B$44)</f>
        <v>7716.2236</v>
      </c>
      <c r="D24" s="20" t="n">
        <f aca="false">$A24*((D$22*Drivers!$B$18*Drivers!$B$7)-(D$22*Drivers!$B$18*Drivers!$B$7*Drivers!$B$20)-(D$22*Drivers!$B$18*Drivers!$B$13)-Drivers!$B$44)</f>
        <v>10670.2795</v>
      </c>
      <c r="E24" s="20" t="n">
        <f aca="false">$A24*((E$22*Drivers!$B$18*Drivers!$B$7)-(E$22*Drivers!$B$18*Drivers!$B$7*Drivers!$B$20)-(E$22*Drivers!$B$18*Drivers!$B$13)-Drivers!$B$44)</f>
        <v>13624.3354</v>
      </c>
      <c r="F24" s="20" t="n">
        <f aca="false">$A24*((F$22*Drivers!$B$18*Drivers!$B$7)-(F$22*Drivers!$B$18*Drivers!$B$7*Drivers!$B$20)-(F$22*Drivers!$B$18*Drivers!$B$13)-Drivers!$B$44)</f>
        <v>16578.3913</v>
      </c>
    </row>
    <row r="25" customFormat="false" ht="15" hidden="false" customHeight="true" outlineLevel="0" collapsed="false">
      <c r="A25" s="28" t="n">
        <v>3</v>
      </c>
      <c r="B25" s="20" t="n">
        <f aca="false">$A25*((B$22*Drivers!$B$18*Drivers!$B$7)-(B$22*Drivers!$B$18*Drivers!$B$7*Drivers!$B$20)-(B$22*Drivers!$B$18*Drivers!$B$13)-Drivers!$B$44)</f>
        <v>7143.25155</v>
      </c>
      <c r="C25" s="20" t="n">
        <f aca="false">$A25*((C$22*Drivers!$B$18*Drivers!$B$7)-(C$22*Drivers!$B$18*Drivers!$B$7*Drivers!$B$20)-(C$22*Drivers!$B$18*Drivers!$B$13)-Drivers!$B$44)</f>
        <v>11574.3354</v>
      </c>
      <c r="D25" s="20" t="n">
        <f aca="false">$A25*((D$22*Drivers!$B$18*Drivers!$B$7)-(D$22*Drivers!$B$18*Drivers!$B$7*Drivers!$B$20)-(D$22*Drivers!$B$18*Drivers!$B$13)-Drivers!$B$44)</f>
        <v>16005.41925</v>
      </c>
      <c r="E25" s="20" t="n">
        <f aca="false">$A25*((E$22*Drivers!$B$18*Drivers!$B$7)-(E$22*Drivers!$B$18*Drivers!$B$7*Drivers!$B$20)-(E$22*Drivers!$B$18*Drivers!$B$13)-Drivers!$B$44)</f>
        <v>20436.5031</v>
      </c>
      <c r="F25" s="20" t="n">
        <f aca="false">$A25*((F$22*Drivers!$B$18*Drivers!$B$7)-(F$22*Drivers!$B$18*Drivers!$B$7*Drivers!$B$20)-(F$22*Drivers!$B$18*Drivers!$B$13)-Drivers!$B$44)</f>
        <v>24867.58695</v>
      </c>
    </row>
    <row r="26" customFormat="false" ht="15" hidden="false" customHeight="true" outlineLevel="0" collapsed="false">
      <c r="A26" s="28" t="n">
        <v>4</v>
      </c>
      <c r="B26" s="20" t="n">
        <f aca="false">$A26*((B$22*Drivers!$B$18*Drivers!$B$7)-(B$22*Drivers!$B$18*Drivers!$B$7*Drivers!$B$20)-(B$22*Drivers!$B$18*Drivers!$B$13)-Drivers!$B$44)</f>
        <v>9524.3354</v>
      </c>
      <c r="C26" s="20" t="n">
        <f aca="false">$A26*((C$22*Drivers!$B$18*Drivers!$B$7)-(C$22*Drivers!$B$18*Drivers!$B$7*Drivers!$B$20)-(C$22*Drivers!$B$18*Drivers!$B$13)-Drivers!$B$44)</f>
        <v>15432.4472</v>
      </c>
      <c r="D26" s="20" t="n">
        <f aca="false">$A26*((D$22*Drivers!$B$18*Drivers!$B$7)-(D$22*Drivers!$B$18*Drivers!$B$7*Drivers!$B$20)-(D$22*Drivers!$B$18*Drivers!$B$13)-Drivers!$B$44)</f>
        <v>21340.559</v>
      </c>
      <c r="E26" s="20" t="n">
        <f aca="false">$A26*((E$22*Drivers!$B$18*Drivers!$B$7)-(E$22*Drivers!$B$18*Drivers!$B$7*Drivers!$B$20)-(E$22*Drivers!$B$18*Drivers!$B$13)-Drivers!$B$44)</f>
        <v>27248.6708</v>
      </c>
      <c r="F26" s="20" t="n">
        <f aca="false">$A26*((F$22*Drivers!$B$18*Drivers!$B$7)-(F$22*Drivers!$B$18*Drivers!$B$7*Drivers!$B$20)-(F$22*Drivers!$B$18*Drivers!$B$13)-Drivers!$B$44)</f>
        <v>33156.7826</v>
      </c>
    </row>
    <row r="27" customFormat="false" ht="15" hidden="false" customHeight="true" outlineLevel="0" collapsed="false">
      <c r="A27" s="28" t="n">
        <v>5</v>
      </c>
      <c r="B27" s="20" t="n">
        <f aca="false">$A27*((B$22*Drivers!$B$18*Drivers!$B$7)-(B$22*Drivers!$B$18*Drivers!$B$7*Drivers!$B$20)-(B$22*Drivers!$B$18*Drivers!$B$13)-Drivers!$B$44)</f>
        <v>11905.41925</v>
      </c>
      <c r="C27" s="20" t="n">
        <f aca="false">$A27*((C$22*Drivers!$B$18*Drivers!$B$7)-(C$22*Drivers!$B$18*Drivers!$B$7*Drivers!$B$20)-(C$22*Drivers!$B$18*Drivers!$B$13)-Drivers!$B$44)</f>
        <v>19290.559</v>
      </c>
      <c r="D27" s="20" t="n">
        <f aca="false">$A27*((D$22*Drivers!$B$18*Drivers!$B$7)-(D$22*Drivers!$B$18*Drivers!$B$7*Drivers!$B$20)-(D$22*Drivers!$B$18*Drivers!$B$13)-Drivers!$B$44)</f>
        <v>26675.69875</v>
      </c>
      <c r="E27" s="20" t="n">
        <f aca="false">$A27*((E$22*Drivers!$B$18*Drivers!$B$7)-(E$22*Drivers!$B$18*Drivers!$B$7*Drivers!$B$20)-(E$22*Drivers!$B$18*Drivers!$B$13)-Drivers!$B$44)</f>
        <v>34060.8385</v>
      </c>
      <c r="F27" s="20" t="n">
        <f aca="false">$A27*((F$22*Drivers!$B$18*Drivers!$B$7)-(F$22*Drivers!$B$18*Drivers!$B$7*Drivers!$B$20)-(F$22*Drivers!$B$18*Drivers!$B$13)-Drivers!$B$44)</f>
        <v>41445.97825</v>
      </c>
    </row>
    <row r="28" customFormat="false" ht="15" hidden="false" customHeight="true" outlineLevel="0" collapsed="false">
      <c r="A28" s="28" t="n">
        <v>6</v>
      </c>
      <c r="B28" s="20" t="n">
        <f aca="false">$A28*((B$22*Drivers!$B$18*Drivers!$B$7)-(B$22*Drivers!$B$18*Drivers!$B$7*Drivers!$B$20)-(B$22*Drivers!$B$18*Drivers!$B$13)-Drivers!$B$44)</f>
        <v>14286.5031</v>
      </c>
      <c r="C28" s="20" t="n">
        <f aca="false">$A28*((C$22*Drivers!$B$18*Drivers!$B$7)-(C$22*Drivers!$B$18*Drivers!$B$7*Drivers!$B$20)-(C$22*Drivers!$B$18*Drivers!$B$13)-Drivers!$B$44)</f>
        <v>23148.6708</v>
      </c>
      <c r="D28" s="20" t="n">
        <f aca="false">$A28*((D$22*Drivers!$B$18*Drivers!$B$7)-(D$22*Drivers!$B$18*Drivers!$B$7*Drivers!$B$20)-(D$22*Drivers!$B$18*Drivers!$B$13)-Drivers!$B$44)</f>
        <v>32010.8385</v>
      </c>
      <c r="E28" s="20" t="n">
        <f aca="false">$A28*((E$22*Drivers!$B$18*Drivers!$B$7)-(E$22*Drivers!$B$18*Drivers!$B$7*Drivers!$B$20)-(E$22*Drivers!$B$18*Drivers!$B$13)-Drivers!$B$44)</f>
        <v>40873.0062</v>
      </c>
      <c r="F28" s="20" t="n">
        <f aca="false">$A28*((F$22*Drivers!$B$18*Drivers!$B$7)-(F$22*Drivers!$B$18*Drivers!$B$7*Drivers!$B$20)-(F$22*Drivers!$B$18*Drivers!$B$13)-Drivers!$B$44)</f>
        <v>49735.1739</v>
      </c>
    </row>
    <row r="30" customFormat="false" ht="30" hidden="false" customHeight="true" outlineLevel="0" collapsed="false">
      <c r="A30" s="15" t="s">
        <v>79</v>
      </c>
      <c r="B30" s="15"/>
      <c r="C30" s="15"/>
      <c r="D30" s="15"/>
      <c r="E30" s="15"/>
      <c r="F30" s="15"/>
    </row>
  </sheetData>
  <mergeCells count="5">
    <mergeCell ref="A1:F1"/>
    <mergeCell ref="A3:F3"/>
    <mergeCell ref="A12:F12"/>
    <mergeCell ref="A21:F21"/>
    <mergeCell ref="A30:F30"/>
  </mergeCells>
  <conditionalFormatting sqref="B5:F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4:F1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3:F2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30" t="s">
        <v>80</v>
      </c>
    </row>
    <row r="3" customFormat="false" ht="15" hidden="false" customHeight="false" outlineLevel="0" collapsed="false">
      <c r="A3" s="31" t="s">
        <v>81</v>
      </c>
    </row>
    <row r="4" customFormat="false" ht="15" hidden="false" customHeight="false" outlineLevel="0" collapsed="false">
      <c r="A4" s="0" t="s">
        <v>82</v>
      </c>
      <c r="B4" s="32" t="n">
        <v>450</v>
      </c>
    </row>
    <row r="5" customFormat="false" ht="15" hidden="false" customHeight="false" outlineLevel="0" collapsed="false">
      <c r="A5" s="0" t="s">
        <v>83</v>
      </c>
      <c r="B5" s="33" t="n">
        <v>0.1</v>
      </c>
    </row>
    <row r="6" customFormat="false" ht="15" hidden="false" customHeight="false" outlineLevel="0" collapsed="false">
      <c r="A6" s="34" t="s">
        <v>84</v>
      </c>
    </row>
    <row r="8" customFormat="false" ht="15" hidden="false" customHeight="false" outlineLevel="0" collapsed="false">
      <c r="A8" s="31" t="s">
        <v>85</v>
      </c>
    </row>
    <row r="9" customFormat="false" ht="15" hidden="false" customHeight="false" outlineLevel="0" collapsed="false">
      <c r="A9" s="0" t="s">
        <v>86</v>
      </c>
      <c r="B9" s="35" t="n">
        <f aca="false">Drivers!B19</f>
        <v>108.25</v>
      </c>
    </row>
    <row r="10" customFormat="false" ht="15" hidden="false" customHeight="false" outlineLevel="0" collapsed="false">
      <c r="A10" s="0" t="s">
        <v>6</v>
      </c>
      <c r="B10" s="35" t="n">
        <f aca="false">Drivers!B8</f>
        <v>1</v>
      </c>
    </row>
    <row r="11" customFormat="false" ht="15" hidden="false" customHeight="false" outlineLevel="0" collapsed="false">
      <c r="A11" s="36" t="s">
        <v>87</v>
      </c>
      <c r="B11" s="37" t="n">
        <f aca="false">B9*B10</f>
        <v>108.25</v>
      </c>
    </row>
    <row r="13" customFormat="false" ht="15" hidden="false" customHeight="false" outlineLevel="0" collapsed="false">
      <c r="A13" s="31" t="s">
        <v>88</v>
      </c>
    </row>
    <row r="14" customFormat="false" ht="15" hidden="false" customHeight="false" outlineLevel="0" collapsed="false">
      <c r="A14" s="0" t="s">
        <v>89</v>
      </c>
      <c r="B14" s="35" t="n">
        <f aca="false">B4*B5</f>
        <v>45</v>
      </c>
    </row>
    <row r="15" customFormat="false" ht="15" hidden="false" customHeight="false" outlineLevel="0" collapsed="false">
      <c r="A15" s="0" t="s">
        <v>90</v>
      </c>
      <c r="B15" s="38" t="n">
        <f aca="false">B14/Drivers!B4/Drivers!B6</f>
        <v>2.07852193995381</v>
      </c>
    </row>
    <row r="17" customFormat="false" ht="15" hidden="false" customHeight="false" outlineLevel="0" collapsed="false">
      <c r="A17" s="31" t="s">
        <v>91</v>
      </c>
    </row>
    <row r="18" customFormat="false" ht="15" hidden="false" customHeight="false" outlineLevel="0" collapsed="false">
      <c r="A18" s="36" t="s">
        <v>92</v>
      </c>
      <c r="B18" s="39" t="n">
        <f aca="false">ROUNDUP(B9/B14,0)</f>
        <v>3</v>
      </c>
    </row>
    <row r="19" customFormat="false" ht="15" hidden="false" customHeight="false" outlineLevel="0" collapsed="false">
      <c r="A19" s="36" t="s">
        <v>93</v>
      </c>
      <c r="B19" s="37" t="n">
        <f aca="false">ROUNDUP(B11/B14,0)</f>
        <v>3</v>
      </c>
    </row>
    <row r="20" customFormat="false" ht="15" hidden="false" customHeight="false" outlineLevel="0" collapsed="false">
      <c r="A20" s="0" t="s">
        <v>94</v>
      </c>
      <c r="B20" s="35" t="n">
        <f aca="false">B18*B4*B5</f>
        <v>135</v>
      </c>
    </row>
    <row r="21" customFormat="false" ht="15" hidden="false" customHeight="false" outlineLevel="0" collapsed="false">
      <c r="A21" s="34" t="s">
        <v>95</v>
      </c>
    </row>
    <row r="24" customFormat="false" ht="15" hidden="false" customHeight="false" outlineLevel="0" collapsed="false">
      <c r="A24" s="31" t="s">
        <v>96</v>
      </c>
    </row>
    <row r="25" customFormat="false" ht="15" hidden="false" customHeight="false" outlineLevel="0" collapsed="false">
      <c r="A25" s="36" t="s">
        <v>97</v>
      </c>
      <c r="B25" s="40" t="n">
        <v>250</v>
      </c>
      <c r="C25" s="40" t="n">
        <v>350</v>
      </c>
      <c r="D25" s="40" t="n">
        <v>450</v>
      </c>
      <c r="E25" s="40" t="n">
        <v>550</v>
      </c>
      <c r="F25" s="40" t="n">
        <v>700</v>
      </c>
    </row>
    <row r="26" customFormat="false" ht="15" hidden="false" customHeight="false" outlineLevel="0" collapsed="false">
      <c r="A26" s="41" t="n">
        <v>0.04</v>
      </c>
      <c r="B26" s="42" t="n">
        <f aca="false">ROUNDUP($B$9/(B$25*$A26),0)</f>
        <v>11</v>
      </c>
      <c r="C26" s="42" t="n">
        <f aca="false">ROUNDUP($B$9/(C$25*$A26),0)</f>
        <v>8</v>
      </c>
      <c r="D26" s="42" t="n">
        <f aca="false">ROUNDUP($B$9/(D$25*$A26),0)</f>
        <v>7</v>
      </c>
      <c r="E26" s="42" t="n">
        <f aca="false">ROUNDUP($B$9/(E$25*$A26),0)</f>
        <v>5</v>
      </c>
      <c r="F26" s="42" t="n">
        <f aca="false">ROUNDUP($B$9/(F$25*$A26),0)</f>
        <v>4</v>
      </c>
    </row>
    <row r="27" customFormat="false" ht="15" hidden="false" customHeight="false" outlineLevel="0" collapsed="false">
      <c r="A27" s="41" t="n">
        <v>0.06</v>
      </c>
      <c r="B27" s="42" t="n">
        <f aca="false">ROUNDUP($B$9/(B$25*$A27),0)</f>
        <v>8</v>
      </c>
      <c r="C27" s="42" t="n">
        <f aca="false">ROUNDUP($B$9/(C$25*$A27),0)</f>
        <v>6</v>
      </c>
      <c r="D27" s="42" t="n">
        <f aca="false">ROUNDUP($B$9/(D$25*$A27),0)</f>
        <v>5</v>
      </c>
      <c r="E27" s="42" t="n">
        <f aca="false">ROUNDUP($B$9/(E$25*$A27),0)</f>
        <v>4</v>
      </c>
      <c r="F27" s="42" t="n">
        <f aca="false">ROUNDUP($B$9/(F$25*$A27),0)</f>
        <v>3</v>
      </c>
    </row>
    <row r="28" customFormat="false" ht="15" hidden="false" customHeight="false" outlineLevel="0" collapsed="false">
      <c r="A28" s="41" t="n">
        <v>0.08</v>
      </c>
      <c r="B28" s="42" t="n">
        <f aca="false">ROUNDUP($B$9/(B$25*$A28),0)</f>
        <v>6</v>
      </c>
      <c r="C28" s="42" t="n">
        <f aca="false">ROUNDUP($B$9/(C$25*$A28),0)</f>
        <v>4</v>
      </c>
      <c r="D28" s="42" t="n">
        <f aca="false">ROUNDUP($B$9/(D$25*$A28),0)</f>
        <v>4</v>
      </c>
      <c r="E28" s="42" t="n">
        <f aca="false">ROUNDUP($B$9/(E$25*$A28),0)</f>
        <v>3</v>
      </c>
      <c r="F28" s="42" t="n">
        <f aca="false">ROUNDUP($B$9/(F$25*$A28),0)</f>
        <v>2</v>
      </c>
    </row>
    <row r="29" customFormat="false" ht="15" hidden="false" customHeight="false" outlineLevel="0" collapsed="false">
      <c r="A29" s="41" t="n">
        <v>0.1</v>
      </c>
      <c r="B29" s="42" t="n">
        <f aca="false">ROUNDUP($B$9/(B$25*$A29),0)</f>
        <v>5</v>
      </c>
      <c r="C29" s="42" t="n">
        <f aca="false">ROUNDUP($B$9/(C$25*$A29),0)</f>
        <v>4</v>
      </c>
      <c r="D29" s="42" t="n">
        <f aca="false">ROUNDUP($B$9/(D$25*$A29),0)</f>
        <v>3</v>
      </c>
      <c r="E29" s="42" t="n">
        <f aca="false">ROUNDUP($B$9/(E$25*$A29),0)</f>
        <v>2</v>
      </c>
      <c r="F29" s="42" t="n">
        <f aca="false">ROUNDUP($B$9/(F$25*$A29),0)</f>
        <v>2</v>
      </c>
    </row>
    <row r="30" customFormat="false" ht="15" hidden="false" customHeight="false" outlineLevel="0" collapsed="false">
      <c r="A30" s="41" t="n">
        <v>0.12</v>
      </c>
      <c r="B30" s="42" t="n">
        <f aca="false">ROUNDUP($B$9/(B$25*$A30),0)</f>
        <v>4</v>
      </c>
      <c r="C30" s="42" t="n">
        <f aca="false">ROUNDUP($B$9/(C$25*$A30),0)</f>
        <v>3</v>
      </c>
      <c r="D30" s="42" t="n">
        <f aca="false">ROUNDUP($B$9/(D$25*$A30),0)</f>
        <v>3</v>
      </c>
      <c r="E30" s="42" t="n">
        <f aca="false">ROUNDUP($B$9/(E$25*$A30),0)</f>
        <v>2</v>
      </c>
      <c r="F30" s="42" t="n">
        <f aca="false">ROUNDUP($B$9/(F$25*$A30),0)</f>
        <v>2</v>
      </c>
    </row>
    <row r="31" customFormat="false" ht="15" hidden="false" customHeight="false" outlineLevel="0" collapsed="false">
      <c r="A31" s="41" t="n">
        <v>0.15</v>
      </c>
      <c r="B31" s="42" t="n">
        <f aca="false">ROUNDUP($B$9/(B$25*$A31),0)</f>
        <v>3</v>
      </c>
      <c r="C31" s="42" t="n">
        <f aca="false">ROUNDUP($B$9/(C$25*$A31),0)</f>
        <v>3</v>
      </c>
      <c r="D31" s="42" t="n">
        <f aca="false">ROUNDUP($B$9/(D$25*$A31),0)</f>
        <v>2</v>
      </c>
      <c r="E31" s="42" t="n">
        <f aca="false">ROUNDUP($B$9/(E$25*$A31),0)</f>
        <v>2</v>
      </c>
      <c r="F31" s="42" t="n">
        <f aca="false">ROUNDUP($B$9/(F$25*$A31),0)</f>
        <v>2</v>
      </c>
    </row>
    <row r="33" customFormat="false" ht="15" hidden="false" customHeight="false" outlineLevel="0" collapsed="false">
      <c r="A33" s="36" t="s">
        <v>98</v>
      </c>
    </row>
    <row r="34" customFormat="false" ht="15" hidden="false" customHeight="false" outlineLevel="0" collapsed="false">
      <c r="A34" s="34" t="s">
        <v>99</v>
      </c>
    </row>
    <row r="35" customFormat="false" ht="15" hidden="false" customHeight="false" outlineLevel="0" collapsed="false">
      <c r="A35" s="34" t="s">
        <v>100</v>
      </c>
    </row>
    <row r="36" customFormat="false" ht="15" hidden="false" customHeight="false" outlineLevel="0" collapsed="false">
      <c r="A36" s="3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2026-09-21T19:23:24Z</dcterms:created>
  <dc:creator>openpyxl</dc:creator>
  <dc:description/>
  <dc:language>en-US</dc:language>
  <cp:lastModifiedBy/>
  <dcterms:modified xsi:type="dcterms:W3CDTF">2026-09-21T19:44:46Z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